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\Negocio\La Abundancia\Excel\"/>
    </mc:Choice>
  </mc:AlternateContent>
  <bookViews>
    <workbookView xWindow="0" yWindow="0" windowWidth="23040" windowHeight="9072" activeTab="2"/>
  </bookViews>
  <sheets>
    <sheet name="INSTRUCCIONES" sheetId="1" r:id="rId1"/>
    <sheet name="DATOS_LOTE" sheetId="2" r:id="rId2"/>
    <sheet name="FACTURA_LIMPIA" sheetId="3" r:id="rId3"/>
    <sheet name="IMPORT_APP" sheetId="4" r:id="rId4"/>
    <sheet name="MAPEO_APP" sheetId="5" r:id="rId5"/>
    <sheet name="REGLAS_PRECIOS" sheetId="6" r:id="rId6"/>
    <sheet name="UNIDADES" sheetId="7" r:id="rId7"/>
    <sheet name="ALIAS" sheetId="8" r:id="rId8"/>
  </sheets>
  <calcPr calcId="162913"/>
</workbook>
</file>

<file path=xl/calcChain.xml><?xml version="1.0" encoding="utf-8"?>
<calcChain xmlns="http://schemas.openxmlformats.org/spreadsheetml/2006/main">
  <c r="K92" i="4" l="1"/>
  <c r="J92" i="4"/>
  <c r="I92" i="4"/>
  <c r="D92" i="4"/>
  <c r="C92" i="4"/>
  <c r="K91" i="4"/>
  <c r="J91" i="4"/>
  <c r="I91" i="4"/>
  <c r="D91" i="4"/>
  <c r="C91" i="4"/>
  <c r="K90" i="4"/>
  <c r="J90" i="4"/>
  <c r="I90" i="4"/>
  <c r="D90" i="4"/>
  <c r="C90" i="4"/>
  <c r="K89" i="4"/>
  <c r="J89" i="4"/>
  <c r="I89" i="4"/>
  <c r="D89" i="4"/>
  <c r="C89" i="4"/>
  <c r="K88" i="4"/>
  <c r="J88" i="4"/>
  <c r="I88" i="4"/>
  <c r="D88" i="4"/>
  <c r="C88" i="4"/>
  <c r="K87" i="4"/>
  <c r="J87" i="4"/>
  <c r="I87" i="4"/>
  <c r="D87" i="4"/>
  <c r="C87" i="4"/>
  <c r="K86" i="4"/>
  <c r="J86" i="4"/>
  <c r="I86" i="4"/>
  <c r="D86" i="4"/>
  <c r="C86" i="4"/>
  <c r="K85" i="4"/>
  <c r="J85" i="4"/>
  <c r="I85" i="4"/>
  <c r="D85" i="4"/>
  <c r="C85" i="4"/>
  <c r="K84" i="4"/>
  <c r="J84" i="4"/>
  <c r="I84" i="4"/>
  <c r="D84" i="4"/>
  <c r="C84" i="4"/>
  <c r="K83" i="4"/>
  <c r="J83" i="4"/>
  <c r="I83" i="4"/>
  <c r="D83" i="4"/>
  <c r="C83" i="4"/>
  <c r="K82" i="4"/>
  <c r="J82" i="4"/>
  <c r="I82" i="4"/>
  <c r="D82" i="4"/>
  <c r="C82" i="4"/>
  <c r="K81" i="4"/>
  <c r="J81" i="4"/>
  <c r="I81" i="4"/>
  <c r="D81" i="4"/>
  <c r="C81" i="4"/>
  <c r="K80" i="4"/>
  <c r="J80" i="4"/>
  <c r="I80" i="4"/>
  <c r="D80" i="4"/>
  <c r="C80" i="4"/>
  <c r="K79" i="4"/>
  <c r="J79" i="4"/>
  <c r="I79" i="4"/>
  <c r="D79" i="4"/>
  <c r="C79" i="4"/>
  <c r="K78" i="4"/>
  <c r="J78" i="4"/>
  <c r="I78" i="4"/>
  <c r="D78" i="4"/>
  <c r="C78" i="4"/>
  <c r="K77" i="4"/>
  <c r="J77" i="4"/>
  <c r="I77" i="4"/>
  <c r="D77" i="4"/>
  <c r="C77" i="4"/>
  <c r="K76" i="4"/>
  <c r="J76" i="4"/>
  <c r="I76" i="4"/>
  <c r="D76" i="4"/>
  <c r="C76" i="4"/>
  <c r="K75" i="4"/>
  <c r="J75" i="4"/>
  <c r="I75" i="4"/>
  <c r="D75" i="4"/>
  <c r="C75" i="4"/>
  <c r="K74" i="4"/>
  <c r="J74" i="4"/>
  <c r="I74" i="4"/>
  <c r="D74" i="4"/>
  <c r="C74" i="4"/>
  <c r="K73" i="4"/>
  <c r="J73" i="4"/>
  <c r="I73" i="4"/>
  <c r="D73" i="4"/>
  <c r="C73" i="4"/>
  <c r="K72" i="4"/>
  <c r="J72" i="4"/>
  <c r="I72" i="4"/>
  <c r="D72" i="4"/>
  <c r="C72" i="4"/>
  <c r="K71" i="4"/>
  <c r="J71" i="4"/>
  <c r="I71" i="4"/>
  <c r="D71" i="4"/>
  <c r="C71" i="4"/>
  <c r="K70" i="4"/>
  <c r="J70" i="4"/>
  <c r="I70" i="4"/>
  <c r="D70" i="4"/>
  <c r="C70" i="4"/>
  <c r="K69" i="4"/>
  <c r="J69" i="4"/>
  <c r="I69" i="4"/>
  <c r="D69" i="4"/>
  <c r="C69" i="4"/>
  <c r="K68" i="4"/>
  <c r="J68" i="4"/>
  <c r="I68" i="4"/>
  <c r="D68" i="4"/>
  <c r="C68" i="4"/>
  <c r="K67" i="4"/>
  <c r="J67" i="4"/>
  <c r="I67" i="4"/>
  <c r="D67" i="4"/>
  <c r="C67" i="4"/>
  <c r="K66" i="4"/>
  <c r="J66" i="4"/>
  <c r="I66" i="4"/>
  <c r="D66" i="4"/>
  <c r="C66" i="4"/>
  <c r="K65" i="4"/>
  <c r="J65" i="4"/>
  <c r="I65" i="4"/>
  <c r="D65" i="4"/>
  <c r="C65" i="4"/>
  <c r="K64" i="4"/>
  <c r="J64" i="4"/>
  <c r="I64" i="4"/>
  <c r="D64" i="4"/>
  <c r="C64" i="4"/>
  <c r="K63" i="4"/>
  <c r="J63" i="4"/>
  <c r="I63" i="4"/>
  <c r="D63" i="4"/>
  <c r="C63" i="4"/>
  <c r="K62" i="4"/>
  <c r="J62" i="4"/>
  <c r="I62" i="4"/>
  <c r="D62" i="4"/>
  <c r="C62" i="4"/>
  <c r="K61" i="4"/>
  <c r="J61" i="4"/>
  <c r="I61" i="4"/>
  <c r="D61" i="4"/>
  <c r="C61" i="4"/>
  <c r="K60" i="4"/>
  <c r="J60" i="4"/>
  <c r="I60" i="4"/>
  <c r="D60" i="4"/>
  <c r="C60" i="4"/>
  <c r="K59" i="4"/>
  <c r="J59" i="4"/>
  <c r="I59" i="4"/>
  <c r="D59" i="4"/>
  <c r="C59" i="4"/>
  <c r="K58" i="4"/>
  <c r="J58" i="4"/>
  <c r="I58" i="4"/>
  <c r="D58" i="4"/>
  <c r="C58" i="4"/>
  <c r="K57" i="4"/>
  <c r="J57" i="4"/>
  <c r="I57" i="4"/>
  <c r="D57" i="4"/>
  <c r="C57" i="4"/>
  <c r="K56" i="4"/>
  <c r="J56" i="4"/>
  <c r="I56" i="4"/>
  <c r="D56" i="4"/>
  <c r="C56" i="4"/>
  <c r="K55" i="4"/>
  <c r="J55" i="4"/>
  <c r="I55" i="4"/>
  <c r="D55" i="4"/>
  <c r="C55" i="4"/>
  <c r="K54" i="4"/>
  <c r="J54" i="4"/>
  <c r="I54" i="4"/>
  <c r="D54" i="4"/>
  <c r="C54" i="4"/>
  <c r="K53" i="4"/>
  <c r="J53" i="4"/>
  <c r="I53" i="4"/>
  <c r="D53" i="4"/>
  <c r="C53" i="4"/>
  <c r="K52" i="4"/>
  <c r="J52" i="4"/>
  <c r="I52" i="4"/>
  <c r="D52" i="4"/>
  <c r="C52" i="4"/>
  <c r="K51" i="4"/>
  <c r="J51" i="4"/>
  <c r="I51" i="4"/>
  <c r="D51" i="4"/>
  <c r="C51" i="4"/>
  <c r="K50" i="4"/>
  <c r="J50" i="4"/>
  <c r="I50" i="4"/>
  <c r="D50" i="4"/>
  <c r="C50" i="4"/>
  <c r="K49" i="4"/>
  <c r="J49" i="4"/>
  <c r="I49" i="4"/>
  <c r="D49" i="4"/>
  <c r="C49" i="4"/>
  <c r="K48" i="4"/>
  <c r="J48" i="4"/>
  <c r="I48" i="4"/>
  <c r="D48" i="4"/>
  <c r="C48" i="4"/>
  <c r="K47" i="4"/>
  <c r="J47" i="4"/>
  <c r="I47" i="4"/>
  <c r="D47" i="4"/>
  <c r="C47" i="4"/>
  <c r="K46" i="4"/>
  <c r="J46" i="4"/>
  <c r="I46" i="4"/>
  <c r="D46" i="4"/>
  <c r="C46" i="4"/>
  <c r="K45" i="4"/>
  <c r="J45" i="4"/>
  <c r="I45" i="4"/>
  <c r="D45" i="4"/>
  <c r="C45" i="4"/>
  <c r="K44" i="4"/>
  <c r="J44" i="4"/>
  <c r="I44" i="4"/>
  <c r="D44" i="4"/>
  <c r="C44" i="4"/>
  <c r="K43" i="4"/>
  <c r="J43" i="4"/>
  <c r="I43" i="4"/>
  <c r="D43" i="4"/>
  <c r="C43" i="4"/>
  <c r="K42" i="4"/>
  <c r="J42" i="4"/>
  <c r="I42" i="4"/>
  <c r="D42" i="4"/>
  <c r="C42" i="4"/>
  <c r="K41" i="4"/>
  <c r="J41" i="4"/>
  <c r="I41" i="4"/>
  <c r="D41" i="4"/>
  <c r="C41" i="4"/>
  <c r="K40" i="4"/>
  <c r="J40" i="4"/>
  <c r="I40" i="4"/>
  <c r="D40" i="4"/>
  <c r="C40" i="4"/>
  <c r="K39" i="4"/>
  <c r="J39" i="4"/>
  <c r="I39" i="4"/>
  <c r="D39" i="4"/>
  <c r="C39" i="4"/>
  <c r="K38" i="4"/>
  <c r="J38" i="4"/>
  <c r="I38" i="4"/>
  <c r="D38" i="4"/>
  <c r="C38" i="4"/>
  <c r="K37" i="4"/>
  <c r="J37" i="4"/>
  <c r="I37" i="4"/>
  <c r="D37" i="4"/>
  <c r="C37" i="4"/>
  <c r="K36" i="4"/>
  <c r="J36" i="4"/>
  <c r="I36" i="4"/>
  <c r="D36" i="4"/>
  <c r="C36" i="4"/>
  <c r="K35" i="4"/>
  <c r="J35" i="4"/>
  <c r="I35" i="4"/>
  <c r="D35" i="4"/>
  <c r="C35" i="4"/>
  <c r="K34" i="4"/>
  <c r="J34" i="4"/>
  <c r="I34" i="4"/>
  <c r="D34" i="4"/>
  <c r="C34" i="4"/>
  <c r="K33" i="4"/>
  <c r="J33" i="4"/>
  <c r="I33" i="4"/>
  <c r="D33" i="4"/>
  <c r="C33" i="4"/>
  <c r="K32" i="4"/>
  <c r="J32" i="4"/>
  <c r="I32" i="4"/>
  <c r="D32" i="4"/>
  <c r="C32" i="4"/>
  <c r="K31" i="4"/>
  <c r="J31" i="4"/>
  <c r="I31" i="4"/>
  <c r="D31" i="4"/>
  <c r="C31" i="4"/>
  <c r="K30" i="4"/>
  <c r="J30" i="4"/>
  <c r="I30" i="4"/>
  <c r="D30" i="4"/>
  <c r="C30" i="4"/>
  <c r="K29" i="4"/>
  <c r="J29" i="4"/>
  <c r="I29" i="4"/>
  <c r="D29" i="4"/>
  <c r="C29" i="4"/>
  <c r="K28" i="4"/>
  <c r="J28" i="4"/>
  <c r="I28" i="4"/>
  <c r="D28" i="4"/>
  <c r="C28" i="4"/>
  <c r="K27" i="4"/>
  <c r="J27" i="4"/>
  <c r="I27" i="4"/>
  <c r="D27" i="4"/>
  <c r="C27" i="4"/>
  <c r="K26" i="4"/>
  <c r="J26" i="4"/>
  <c r="I26" i="4"/>
  <c r="D26" i="4"/>
  <c r="C26" i="4"/>
  <c r="K25" i="4"/>
  <c r="J25" i="4"/>
  <c r="I25" i="4"/>
  <c r="D25" i="4"/>
  <c r="C25" i="4"/>
  <c r="K24" i="4"/>
  <c r="J24" i="4"/>
  <c r="I24" i="4"/>
  <c r="D24" i="4"/>
  <c r="C24" i="4"/>
  <c r="K23" i="4"/>
  <c r="J23" i="4"/>
  <c r="I23" i="4"/>
  <c r="D23" i="4"/>
  <c r="C23" i="4"/>
  <c r="K22" i="4"/>
  <c r="J22" i="4"/>
  <c r="I22" i="4"/>
  <c r="D22" i="4"/>
  <c r="C22" i="4"/>
  <c r="K21" i="4"/>
  <c r="J21" i="4"/>
  <c r="I21" i="4"/>
  <c r="D21" i="4"/>
  <c r="C21" i="4"/>
  <c r="K20" i="4"/>
  <c r="J20" i="4"/>
  <c r="I20" i="4"/>
  <c r="D20" i="4"/>
  <c r="C20" i="4"/>
  <c r="K19" i="4"/>
  <c r="J19" i="4"/>
  <c r="I19" i="4"/>
  <c r="D19" i="4"/>
  <c r="C19" i="4"/>
  <c r="K18" i="4"/>
  <c r="J18" i="4"/>
  <c r="I18" i="4"/>
  <c r="D18" i="4"/>
  <c r="C18" i="4"/>
  <c r="K17" i="4"/>
  <c r="J17" i="4"/>
  <c r="I17" i="4"/>
  <c r="D17" i="4"/>
  <c r="C17" i="4"/>
  <c r="K16" i="4"/>
  <c r="J16" i="4"/>
  <c r="I16" i="4"/>
  <c r="D16" i="4"/>
  <c r="C16" i="4"/>
  <c r="K15" i="4"/>
  <c r="J15" i="4"/>
  <c r="I15" i="4"/>
  <c r="D15" i="4"/>
  <c r="C15" i="4"/>
  <c r="K14" i="4"/>
  <c r="J14" i="4"/>
  <c r="I14" i="4"/>
  <c r="D14" i="4"/>
  <c r="C14" i="4"/>
  <c r="K13" i="4"/>
  <c r="J13" i="4"/>
  <c r="I13" i="4"/>
  <c r="D13" i="4"/>
  <c r="C13" i="4"/>
  <c r="K12" i="4"/>
  <c r="J12" i="4"/>
  <c r="I12" i="4"/>
  <c r="D12" i="4"/>
  <c r="C12" i="4"/>
  <c r="K11" i="4"/>
  <c r="J11" i="4"/>
  <c r="I11" i="4"/>
  <c r="D11" i="4"/>
  <c r="C11" i="4"/>
  <c r="K10" i="4"/>
  <c r="J10" i="4"/>
  <c r="I10" i="4"/>
  <c r="D10" i="4"/>
  <c r="C10" i="4"/>
  <c r="K9" i="4"/>
  <c r="J9" i="4"/>
  <c r="I9" i="4"/>
  <c r="D9" i="4"/>
  <c r="C9" i="4"/>
  <c r="K8" i="4"/>
  <c r="J8" i="4"/>
  <c r="I8" i="4"/>
  <c r="D8" i="4"/>
  <c r="C8" i="4"/>
  <c r="K7" i="4"/>
  <c r="J7" i="4"/>
  <c r="I7" i="4"/>
  <c r="D7" i="4"/>
  <c r="C7" i="4"/>
  <c r="K6" i="4"/>
  <c r="J6" i="4"/>
  <c r="I6" i="4"/>
  <c r="D6" i="4"/>
  <c r="C6" i="4"/>
  <c r="K5" i="4"/>
  <c r="J5" i="4"/>
  <c r="I5" i="4"/>
  <c r="D5" i="4"/>
  <c r="C5" i="4"/>
  <c r="K4" i="4"/>
  <c r="J4" i="4"/>
  <c r="I4" i="4"/>
  <c r="D4" i="4"/>
  <c r="C4" i="4"/>
  <c r="K3" i="4"/>
  <c r="J3" i="4"/>
  <c r="I3" i="4"/>
  <c r="D3" i="4"/>
  <c r="C3" i="4"/>
  <c r="K2" i="4"/>
  <c r="J2" i="4"/>
  <c r="I2" i="4"/>
  <c r="D2" i="4"/>
  <c r="C2" i="4"/>
  <c r="I49" i="3"/>
</calcChain>
</file>

<file path=xl/sharedStrings.xml><?xml version="1.0" encoding="utf-8"?>
<sst xmlns="http://schemas.openxmlformats.org/spreadsheetml/2006/main" count="1862" uniqueCount="453">
  <si>
    <t>Plantilla oficial de compras por lote — La Abundancia v1.39.1</t>
  </si>
  <si>
    <t>Uso principal</t>
  </si>
  <si>
    <t>Editar el Excel oficial, llenar cantidad, medida y total de compra; luego subir el archivo .xlsx en Calculadora &gt; Cálculo de Precios por Lote.</t>
  </si>
  <si>
    <t>Qué sí editar</t>
  </si>
  <si>
    <t>DATOS_LOTE: número, fecha y proveedor. FACTURA_LIMPIA: columnas CANT., MEDIDA y TOTAL de cada producto.</t>
  </si>
  <si>
    <t>Qué no editar</t>
  </si>
  <si>
    <t>No cambiar nombres de productos, filas, columnas, hojas técnicas, claves ni fórmulas. La app usa esas posiciones para conectar con los IDs.</t>
  </si>
  <si>
    <t>Formato recomendado</t>
  </si>
  <si>
    <t>Subir este archivo .xlsx directamente. La hoja IMPORT_APP queda como respaldo técnico, pero la app puede leer FACTURA_LIMPIA por posiciones fijas.</t>
  </si>
  <si>
    <t>GitHub</t>
  </si>
  <si>
    <t>Buena idea subir este archivo a GitHub como plantilla oficial. Usa un nombre estable para que la app pueda descargarlo o abrirlo desde un enlace fijo.</t>
  </si>
  <si>
    <t>Seguridad</t>
  </si>
  <si>
    <t>La importación en la app debe quedar en borrador. Nada se actualiza en productos/inventario hasta revisar y confirmar con PIN.</t>
  </si>
  <si>
    <t>Flujo recomendado</t>
  </si>
  <si>
    <t>Unidad permitida</t>
  </si>
  <si>
    <t>Uso</t>
  </si>
  <si>
    <t>1. Descarga este Excel oficial desde GitHub o desde la app.</t>
  </si>
  <si>
    <t>KG / KL / KILO</t>
  </si>
  <si>
    <t>Compra por kilo</t>
  </si>
  <si>
    <t>2. Llena DATOS_LOTE.</t>
  </si>
  <si>
    <t>UND / UNIDAD</t>
  </si>
  <si>
    <t>Compra por unidad</t>
  </si>
  <si>
    <t>3. En FACTURA_LIMPIA llena solo CANT., MEDIDA y TOTAL.</t>
  </si>
  <si>
    <t>CJ / CAJA</t>
  </si>
  <si>
    <t>Caja completa</t>
  </si>
  <si>
    <t>4. Sube el .xlsx a la app.</t>
  </si>
  <si>
    <t>BT / BULTO</t>
  </si>
  <si>
    <t>Bulto completo</t>
  </si>
  <si>
    <t>5. Revisa productos listos, productos manuales y productos nuevos.</t>
  </si>
  <si>
    <t>MTA / MATA</t>
  </si>
  <si>
    <t>Mata completa</t>
  </si>
  <si>
    <t>6. Confirma con PIN para actualizar costos, precios e inventario.</t>
  </si>
  <si>
    <t>BJA / BANDEJA</t>
  </si>
  <si>
    <t>Bandeja completa</t>
  </si>
  <si>
    <t>PAQ / PAQUETE</t>
  </si>
  <si>
    <t>Paquete</t>
  </si>
  <si>
    <t>ARROBA</t>
  </si>
  <si>
    <t>Arroba</t>
  </si>
  <si>
    <t>Datos del lote / factura</t>
  </si>
  <si>
    <t>Campo</t>
  </si>
  <si>
    <t>Valor</t>
  </si>
  <si>
    <t>Número factura/lote</t>
  </si>
  <si>
    <t>Fecha lote</t>
  </si>
  <si>
    <t>Proveedor</t>
  </si>
  <si>
    <t>Responsable</t>
  </si>
  <si>
    <t>Observaciones</t>
  </si>
  <si>
    <t>Versión plantilla</t>
  </si>
  <si>
    <t>1.39.1</t>
  </si>
  <si>
    <t>Regla</t>
  </si>
  <si>
    <t>Descripción</t>
  </si>
  <si>
    <t>Obligatorio</t>
  </si>
  <si>
    <t>La app debe pedir fecha si B5 está vacío.</t>
  </si>
  <si>
    <t>No cambiar</t>
  </si>
  <si>
    <t>El nombre de las hojas debe conservarse.</t>
  </si>
  <si>
    <t>Subir este archivo como asset de Release o archivo estable del repositorio.</t>
  </si>
  <si>
    <t>App</t>
  </si>
  <si>
    <t>La app debe leer FACTURA_LIMPIA y/o IMPORT_APP.</t>
  </si>
  <si>
    <t>CANT.</t>
  </si>
  <si>
    <t>MEDIDA</t>
  </si>
  <si>
    <t>PRODUCTO</t>
  </si>
  <si>
    <t>TOTAL</t>
  </si>
  <si>
    <t>Acelga</t>
  </si>
  <si>
    <t>Maíz por Arroba</t>
  </si>
  <si>
    <t>Aguacate</t>
  </si>
  <si>
    <t>Maíz Entero</t>
  </si>
  <si>
    <t>Ahuyamín</t>
  </si>
  <si>
    <t>Maíz Partido</t>
  </si>
  <si>
    <t>Ají</t>
  </si>
  <si>
    <t>Mandarina</t>
  </si>
  <si>
    <t>Ajo Criollo</t>
  </si>
  <si>
    <t>Mango</t>
  </si>
  <si>
    <t>Ajo Blanco</t>
  </si>
  <si>
    <t>Manzana Verde</t>
  </si>
  <si>
    <t>Ajo Pelado</t>
  </si>
  <si>
    <t>Manzana Roja</t>
  </si>
  <si>
    <t>Apio España</t>
  </si>
  <si>
    <t>Manzana Royale</t>
  </si>
  <si>
    <t>Arándanos</t>
  </si>
  <si>
    <t>Maracuyá</t>
  </si>
  <si>
    <t>Arveja</t>
  </si>
  <si>
    <t>Melón</t>
  </si>
  <si>
    <t>Arracacha</t>
  </si>
  <si>
    <t>Mazorca Bandeja</t>
  </si>
  <si>
    <t>Banano</t>
  </si>
  <si>
    <t>Mora</t>
  </si>
  <si>
    <t>Berenjena</t>
  </si>
  <si>
    <t>Naranja</t>
  </si>
  <si>
    <t>Brócoli</t>
  </si>
  <si>
    <t>Panela Pastilla</t>
  </si>
  <si>
    <t>Calabaza</t>
  </si>
  <si>
    <t>Panelón</t>
  </si>
  <si>
    <t>Calabacín</t>
  </si>
  <si>
    <t>Papa Criolla</t>
  </si>
  <si>
    <t>Ceb. Cabezona Blanca</t>
  </si>
  <si>
    <t>Papa Gruesa</t>
  </si>
  <si>
    <t>Ceb. Cabezona Roja</t>
  </si>
  <si>
    <t>Papa Cero</t>
  </si>
  <si>
    <t>Ceb. Larga</t>
  </si>
  <si>
    <t>Papa Pareja</t>
  </si>
  <si>
    <t>Ceb. Puerro</t>
  </si>
  <si>
    <t>Papaya</t>
  </si>
  <si>
    <t>Cilantro</t>
  </si>
  <si>
    <t>Patilla</t>
  </si>
  <si>
    <t>Ciruela</t>
  </si>
  <si>
    <t>Pepino de Guiso</t>
  </si>
  <si>
    <t>Coliflor</t>
  </si>
  <si>
    <t>Pepino Cohombro</t>
  </si>
  <si>
    <t>Curuba</t>
  </si>
  <si>
    <t>Pera</t>
  </si>
  <si>
    <t>Champiñón</t>
  </si>
  <si>
    <t>Perejil</t>
  </si>
  <si>
    <t>Durazno</t>
  </si>
  <si>
    <t>Pimentón</t>
  </si>
  <si>
    <t>Espinaca</t>
  </si>
  <si>
    <t>Piña</t>
  </si>
  <si>
    <t>Fresa</t>
  </si>
  <si>
    <t>Plátano</t>
  </si>
  <si>
    <t>Fresa Extra</t>
  </si>
  <si>
    <t>Rábanos</t>
  </si>
  <si>
    <t>Frijol Verde</t>
  </si>
  <si>
    <t>Remolacha</t>
  </si>
  <si>
    <t>Jengibre</t>
  </si>
  <si>
    <t>Repollo</t>
  </si>
  <si>
    <t>Granadilla</t>
  </si>
  <si>
    <t>Tomate Chonto Grueso</t>
  </si>
  <si>
    <t>Guascas</t>
  </si>
  <si>
    <t>Tomate Semi</t>
  </si>
  <si>
    <t>Guayaba</t>
  </si>
  <si>
    <t>Tomate de Árbol</t>
  </si>
  <si>
    <t>Guayaba Pera</t>
  </si>
  <si>
    <t>Tomillo y Laurel</t>
  </si>
  <si>
    <t>Guatila</t>
  </si>
  <si>
    <t>Uchubas</t>
  </si>
  <si>
    <t>Guanábana</t>
  </si>
  <si>
    <t>Uva Isabella</t>
  </si>
  <si>
    <t>Habas</t>
  </si>
  <si>
    <t>Uva Combinada</t>
  </si>
  <si>
    <t>Habichuela</t>
  </si>
  <si>
    <t>Uva Chilena</t>
  </si>
  <si>
    <t>Kiwi</t>
  </si>
  <si>
    <t>Yuca</t>
  </si>
  <si>
    <t>Lechuga Crespa</t>
  </si>
  <si>
    <t>Zanahoria Extra</t>
  </si>
  <si>
    <t>Lechuga Batavia</t>
  </si>
  <si>
    <t>Zanahoria Cero</t>
  </si>
  <si>
    <t>Limón Taití</t>
  </si>
  <si>
    <t>Zukini</t>
  </si>
  <si>
    <t>Limón Castilla</t>
  </si>
  <si>
    <t>Zumo limón Grande</t>
  </si>
  <si>
    <t>Limón Mandarino</t>
  </si>
  <si>
    <t>Zumo Limón Pequeño</t>
  </si>
  <si>
    <t>Lulo</t>
  </si>
  <si>
    <t>TOTAL ESTA FACTURA $</t>
  </si>
  <si>
    <t>INSTRUCCIÓN:</t>
  </si>
  <si>
    <t>Llena solo CANT., MEDIDA y TOTAL. No cambies nombres de productos ni orden de filas.</t>
  </si>
  <si>
    <t>UNIDADES:</t>
  </si>
  <si>
    <t>KG/KL/KILO, UND/UNIDAD, CJ/CAJA, BT/BULTO, MTA/MATA, BJA/BANDEJA, PAQ/PAQUETE, ARROBA.</t>
  </si>
  <si>
    <t>APP:</t>
  </si>
  <si>
    <t>La app ignorará filas sin cantidad o sin total de compra.</t>
  </si>
  <si>
    <t>formato</t>
  </si>
  <si>
    <t>version</t>
  </si>
  <si>
    <t>numeroFactura</t>
  </si>
  <si>
    <t>fechaLote</t>
  </si>
  <si>
    <t>seccion</t>
  </si>
  <si>
    <t>filaExcel</t>
  </si>
  <si>
    <t>productoPlantilla</t>
  </si>
  <si>
    <t>productoClave</t>
  </si>
  <si>
    <t>cantidad</t>
  </si>
  <si>
    <t>medida</t>
  </si>
  <si>
    <t>totalCompra</t>
  </si>
  <si>
    <t>observacion</t>
  </si>
  <si>
    <t>Nota técnica</t>
  </si>
  <si>
    <t>LAABUNDANCIA_LOTE</t>
  </si>
  <si>
    <t>IZQUIERDA</t>
  </si>
  <si>
    <t>acelga</t>
  </si>
  <si>
    <t>Esta hoja se llena automáticamente desde FACTURA_LIMPIA. No editar. La app debe ignorar filas vacías.</t>
  </si>
  <si>
    <t>aguacate</t>
  </si>
  <si>
    <t>ahuyamin</t>
  </si>
  <si>
    <t>aji_manual</t>
  </si>
  <si>
    <t>ajo_criollo_manojo</t>
  </si>
  <si>
    <t>ajo_blanco_paquete</t>
  </si>
  <si>
    <t>ajo_pelado_base</t>
  </si>
  <si>
    <t>apio_espana</t>
  </si>
  <si>
    <t>arandanos</t>
  </si>
  <si>
    <t>arveja_con_cascara</t>
  </si>
  <si>
    <t>arracacha</t>
  </si>
  <si>
    <t>banano</t>
  </si>
  <si>
    <t>berenjena</t>
  </si>
  <si>
    <t>brocoli</t>
  </si>
  <si>
    <t>calabaza</t>
  </si>
  <si>
    <t>calabacin</t>
  </si>
  <si>
    <t>cebolla_cabezona_blanca</t>
  </si>
  <si>
    <t>cebolla_cabezona_roja</t>
  </si>
  <si>
    <t>cebolla_larga</t>
  </si>
  <si>
    <t>ceb_puerro</t>
  </si>
  <si>
    <t>cilantro</t>
  </si>
  <si>
    <t>ciruela</t>
  </si>
  <si>
    <t>coliflor</t>
  </si>
  <si>
    <t>curuba</t>
  </si>
  <si>
    <t>champinon</t>
  </si>
  <si>
    <t>durazno</t>
  </si>
  <si>
    <t>espinaca</t>
  </si>
  <si>
    <t>fresa</t>
  </si>
  <si>
    <t>fresa_extra</t>
  </si>
  <si>
    <t>frijol_verde</t>
  </si>
  <si>
    <t>jengibre</t>
  </si>
  <si>
    <t>granadilla</t>
  </si>
  <si>
    <t>guascas</t>
  </si>
  <si>
    <t>guayaba</t>
  </si>
  <si>
    <t>guayaba_pera</t>
  </si>
  <si>
    <t>guatila</t>
  </si>
  <si>
    <t>guanabana_fresca</t>
  </si>
  <si>
    <t>habas</t>
  </si>
  <si>
    <t>habichuela</t>
  </si>
  <si>
    <t>kiwi</t>
  </si>
  <si>
    <t>lechuga_crespa</t>
  </si>
  <si>
    <t>lechuga_batavia</t>
  </si>
  <si>
    <t>limon_taiti</t>
  </si>
  <si>
    <t>limon_castilla_docena</t>
  </si>
  <si>
    <t>limon_mandarino</t>
  </si>
  <si>
    <t>lulo_fresco</t>
  </si>
  <si>
    <t>DERECHA</t>
  </si>
  <si>
    <t>maiz_por_arroba</t>
  </si>
  <si>
    <t>maiz_entero</t>
  </si>
  <si>
    <t>maiz_partido</t>
  </si>
  <si>
    <t>mandarina</t>
  </si>
  <si>
    <t>mango</t>
  </si>
  <si>
    <t>manzana_verde</t>
  </si>
  <si>
    <t>manzana_roja</t>
  </si>
  <si>
    <t>manzana_royale</t>
  </si>
  <si>
    <t>maracuya</t>
  </si>
  <si>
    <t>melon</t>
  </si>
  <si>
    <t>mazorca_bandeja</t>
  </si>
  <si>
    <t>mora_fresca</t>
  </si>
  <si>
    <t>naranja</t>
  </si>
  <si>
    <t>panela_pastilla</t>
  </si>
  <si>
    <t>panelon</t>
  </si>
  <si>
    <t>papa_criolla</t>
  </si>
  <si>
    <t>papa_pastusa</t>
  </si>
  <si>
    <t>papa_cero</t>
  </si>
  <si>
    <t>papa_pareja</t>
  </si>
  <si>
    <t>papaya</t>
  </si>
  <si>
    <t>patilla</t>
  </si>
  <si>
    <t>pepino_de_guiso</t>
  </si>
  <si>
    <t>pepino_cohombro</t>
  </si>
  <si>
    <t>pera</t>
  </si>
  <si>
    <t>perejil</t>
  </si>
  <si>
    <t>pimenton</t>
  </si>
  <si>
    <t>pina</t>
  </si>
  <si>
    <t>platano_verde</t>
  </si>
  <si>
    <t>rabanos</t>
  </si>
  <si>
    <t>remolacha</t>
  </si>
  <si>
    <t>repollo</t>
  </si>
  <si>
    <t>tomate_chonto</t>
  </si>
  <si>
    <t>tomate_semi</t>
  </si>
  <si>
    <t>tomate_arbol_fresco</t>
  </si>
  <si>
    <t>tomillo_y_laurel</t>
  </si>
  <si>
    <t>uchubas</t>
  </si>
  <si>
    <t>uva_isabella</t>
  </si>
  <si>
    <t>uva_combinada</t>
  </si>
  <si>
    <t>uva_chilena</t>
  </si>
  <si>
    <t>yuca</t>
  </si>
  <si>
    <t>zanahoria</t>
  </si>
  <si>
    <t>zukini</t>
  </si>
  <si>
    <t>zumo_limon_grande</t>
  </si>
  <si>
    <t>zumo_limon_pequeno</t>
  </si>
  <si>
    <t>estado</t>
  </si>
  <si>
    <t>productoAppPrincipal</t>
  </si>
  <si>
    <t>appProductId</t>
  </si>
  <si>
    <t>productosVinculados</t>
  </si>
  <si>
    <t>regla</t>
  </si>
  <si>
    <t>margenObjetivo</t>
  </si>
  <si>
    <t>unidadCompraSugerida</t>
  </si>
  <si>
    <t>unidadVentaSugerida</t>
  </si>
  <si>
    <t>nota</t>
  </si>
  <si>
    <t>CONECTADO_CON_CORRECCION</t>
  </si>
  <si>
    <t>Aceiga</t>
  </si>
  <si>
    <t>d9399b15-e43d-49c0-9c40-b9c471a720a5</t>
  </si>
  <si>
    <t>DIRECTO_KILO</t>
  </si>
  <si>
    <t>KILO</t>
  </si>
  <si>
    <t>Compra kilo, vende kilo. Margen mínimo 60%.</t>
  </si>
  <si>
    <t>CONECTADO</t>
  </si>
  <si>
    <t>e222575f-dc11-4222-b1fb-6aa81db8e667</t>
  </si>
  <si>
    <t>Compra kilo, vende kilo. Margen recomendado 40-45%.</t>
  </si>
  <si>
    <t>Ahuyamin</t>
  </si>
  <si>
    <t>0b89bf7a-bd60-46f7-975c-9133334e8a61</t>
  </si>
  <si>
    <t>Compra kilo, vende kilo. Margen 35%.</t>
  </si>
  <si>
    <t>MANUAL</t>
  </si>
  <si>
    <t>Selección manual</t>
  </si>
  <si>
    <t>Manejo manual. No actualizar automáticamente.</t>
  </si>
  <si>
    <t>CREAR_EN_APP</t>
  </si>
  <si>
    <t>MATA_A_UNIDAD</t>
  </si>
  <si>
    <t>UNIDAD</t>
  </si>
  <si>
    <t>1 mata = 10 manojos. Precio manojo = costo mata / 10 × 1,45.</t>
  </si>
  <si>
    <t>55743b25-0997-4e63-8b29-ec2e78ef77e4</t>
  </si>
  <si>
    <t>KILO_A_PAQUETE_ESPECIAL</t>
  </si>
  <si>
    <t>De 2 kg salen 21 paquetes de 3 cabezas. Precio = costo paquete × 2.</t>
  </si>
  <si>
    <t>MULTI_FORMULA</t>
  </si>
  <si>
    <t>Ajo Pelado Bolsa Grande, Ajo Pelado Bolsa Pequeña</t>
  </si>
  <si>
    <t>Kilo base: 150g margen 45%; 75g margen 60%.</t>
  </si>
  <si>
    <t>MATA_A_KILO_ESPECIAL</t>
  </si>
  <si>
    <t>MATA</t>
  </si>
  <si>
    <t>Vender $3.000/kg si mata &lt;= $3.970 y pesa mínimo 2,25kg; si no, costoKg × 1,70.</t>
  </si>
  <si>
    <t>SIN_REGLA</t>
  </si>
  <si>
    <t>Sin regla específica. Revisar manualmente.</t>
  </si>
  <si>
    <t>513b67c9-316d-47cd-9597-73ebb039f6fe</t>
  </si>
  <si>
    <t>Arveja, Arveja Desgranada, Arveja Paquete 150g, Arveja Paquete 260g</t>
  </si>
  <si>
    <t>3 kg con cáscara = 1 kg desgranada. Paquetes 150g y 270g según fórmula.</t>
  </si>
  <si>
    <t>78fdedcf-83c5-4eb0-a473-15f6420a61cc</t>
  </si>
  <si>
    <t>9ed94e62-a9b8-4e45-a824-f5644905d1ff</t>
  </si>
  <si>
    <t>CAJA_A_KILO</t>
  </si>
  <si>
    <t>CAJA</t>
  </si>
  <si>
    <t>Caja default 18,5 kg. Vende kilo.</t>
  </si>
  <si>
    <t>73ada553-f806-41ea-9266-7722a7e72862</t>
  </si>
  <si>
    <t>DIRECTO_UNIDAD</t>
  </si>
  <si>
    <t>Compra unidad, vende unidad. Margen 50%.</t>
  </si>
  <si>
    <t>BULTO_A_KILO</t>
  </si>
  <si>
    <t>BULTO</t>
  </si>
  <si>
    <t>Bulto default 50 kg o kilo. Margen recomendado 50-60%.</t>
  </si>
  <si>
    <t>MATA_A_KILO</t>
  </si>
  <si>
    <t>Mata default 25 kg. Vende kilo. Margen recomendado 50-60%.</t>
  </si>
  <si>
    <t>1b6efa36-f8ca-42e9-809f-3ac2ecf36363</t>
  </si>
  <si>
    <t>Cilantro, Cilantro por Unidad</t>
  </si>
  <si>
    <t>Paquete 65g, precio base $1.000, objetivo 119%.</t>
  </si>
  <si>
    <t>d150c4a0-a97b-4254-9a06-995ba7a40fdf</t>
  </si>
  <si>
    <t>DIRECTO_BANDEJA</t>
  </si>
  <si>
    <t>BANDEJA</t>
  </si>
  <si>
    <t>Compra bandeja, vende bandeja. Margen 50%.</t>
  </si>
  <si>
    <t>12ae5b8f-a359-4b3b-a373-d32cd67fb7fa</t>
  </si>
  <si>
    <t>Durazno por Kilo</t>
  </si>
  <si>
    <t>b0a06757-960a-41e6-ab1d-1abf15786947</t>
  </si>
  <si>
    <t>0e9b70bf-74be-4721-8d02-55dc197ef270</t>
  </si>
  <si>
    <t>Compra kilo, vende kilo. Margen 100%.</t>
  </si>
  <si>
    <t>Fresa Paquete</t>
  </si>
  <si>
    <t>a6aecb5c-24f1-4389-adbd-6be57f01d8f7</t>
  </si>
  <si>
    <t>Compra caja/bandeja. Revisar presentación. Margen sugerido 50%.</t>
  </si>
  <si>
    <t>Gengibre</t>
  </si>
  <si>
    <t>8f753906-dc41-463a-8ffc-aee040d5e716</t>
  </si>
  <si>
    <t>Compra kilo, vende kilo. Margen mínimo 50%.</t>
  </si>
  <si>
    <t>a86be2c2-37e3-466a-90ae-8d4c563fa09e</t>
  </si>
  <si>
    <t>Compra unidad, vende unidad. Margen cercano 50%.</t>
  </si>
  <si>
    <t>54e187d2-e648-457e-9678-6b63f354c69a</t>
  </si>
  <si>
    <t>CREAR_FRUTA_FRESCA</t>
  </si>
  <si>
    <t>Guanábana (fruta fresca)</t>
  </si>
  <si>
    <t>50a105ae-2f87-4e4e-9045-5159cf593b60</t>
  </si>
  <si>
    <t>Compra kilo, vende kilo. Margen 50%.</t>
  </si>
  <si>
    <t>cd1c10f8-2234-4719-988e-cc2d2c72f750</t>
  </si>
  <si>
    <t>Compra unidad, vende unidad. Margen recomendado 50-60%.</t>
  </si>
  <si>
    <t>47234d72-1d52-427f-90f2-625307d3c217</t>
  </si>
  <si>
    <t>Compra unidad, vende unidad. Margen recomendado 60-70%.</t>
  </si>
  <si>
    <t>KILO_A_PAQUETE_GRAMOS</t>
  </si>
  <si>
    <t>Paquete 12 unidades = 360g. Precio = costoKg × 0,36 × 1,85.</t>
  </si>
  <si>
    <t>98743349-8148-4580-a1d4-45355334ac35</t>
  </si>
  <si>
    <t>Compra kilo, vende kilo. Margen recomendado 55%.</t>
  </si>
  <si>
    <t>Lulo (fruta fresca)</t>
  </si>
  <si>
    <t>Fruta fresca. Caja default 11-12 kg. No conectar a pulpa.</t>
  </si>
  <si>
    <t>Caja default 11-12 kg. Margen sugerido 45%.</t>
  </si>
  <si>
    <t>63c77d96-9483-412e-9bcc-d935093fea85</t>
  </si>
  <si>
    <t>bde2b5f0-a846-4e4d-9377-6a1408937849</t>
  </si>
  <si>
    <t>BANDEJA_A_UNIDAD</t>
  </si>
  <si>
    <t>Bandeja 22-24 unidades. Vende unidad.</t>
  </si>
  <si>
    <t>faf31ba3-4f7f-4023-b64b-43d52be0f625</t>
  </si>
  <si>
    <t>Venta por unidad. Margen sugerido 50%.</t>
  </si>
  <si>
    <t>Mazorca, Mazorca por Unidad</t>
  </si>
  <si>
    <t>Bandeja de 4 mazorcas. Puede actualizar Mazorca y Mazorca por Unidad.</t>
  </si>
  <si>
    <t>Mora (fruta fresca)</t>
  </si>
  <si>
    <t>CAJA_A_PAQUETE</t>
  </si>
  <si>
    <t>PAQUETE</t>
  </si>
  <si>
    <t>Fruta fresca. Caja trae 10 paquetes. No conectar a pulpa.</t>
  </si>
  <si>
    <t>Compra kilo. Margen sugerido 50%.</t>
  </si>
  <si>
    <t>Papa Pastusa</t>
  </si>
  <si>
    <t>86ec6278-4056-4cce-a4c5-23b3853e5221</t>
  </si>
  <si>
    <t>Papa gruesa = Papa Pastusa. Bulto default 45-50 kg.</t>
  </si>
  <si>
    <t>405bcebd-2475-4423-a5d3-451c1cfd1ff0</t>
  </si>
  <si>
    <t>Compra kilo, vende kilo. Margen sugerido 40%.</t>
  </si>
  <si>
    <t>36783dd4-17bb-4e1c-861b-2b4799d74e78</t>
  </si>
  <si>
    <t>Compra kilo, vende kilo. Margen sugerido 45%.</t>
  </si>
  <si>
    <t>772aadb0-4776-4083-b2af-e9322e58ee54</t>
  </si>
  <si>
    <t>Compra kilo, vende kilo. Margen sugerido 60%.</t>
  </si>
  <si>
    <t>b33dfb4d-051a-4483-9317-886d7af749ea</t>
  </si>
  <si>
    <t>Compra kilo, vende kilo. Margen sugerido 50%.</t>
  </si>
  <si>
    <t>CONECTADO_VINCULADO</t>
  </si>
  <si>
    <t>Plátano Verde</t>
  </si>
  <si>
    <t>e8adfefb-93f6-4d79-a3fd-e0f3435c619f</t>
  </si>
  <si>
    <t>Plátano Maduro</t>
  </si>
  <si>
    <t>DIRECTO_KILO_VINCULADO</t>
  </si>
  <si>
    <t>Plátano = Plátano Verde. También actualiza Plátano Maduro al mismo precio.</t>
  </si>
  <si>
    <t>Tomate Chonto</t>
  </si>
  <si>
    <t>c4d17a15-6b61-4687-9cd7-2983ee1b2b6d</t>
  </si>
  <si>
    <t>Caja default 22 kg. Margen sugerido 45%.</t>
  </si>
  <si>
    <t>Tomate de Árbol (fruta fresca)</t>
  </si>
  <si>
    <t>53f5d363-ae7d-4a69-8bc2-82ad2cb82e55</t>
  </si>
  <si>
    <t>29e4d0c7-8e52-4484-a4ce-53fd8b82a2e4</t>
  </si>
  <si>
    <t>Zanahoria</t>
  </si>
  <si>
    <t>a2efa4ab-5707-4282-b1b3-6866b92d6aea</t>
  </si>
  <si>
    <t>DIRECTO_KILO_CONSOLIDADO</t>
  </si>
  <si>
    <t>Zanahoria Extra/Cero se consolidan en Zanahoria. No separar calidades.</t>
  </si>
  <si>
    <t>productoReferencia</t>
  </si>
  <si>
    <t>tipoRegla</t>
  </si>
  <si>
    <t>defaultConversion</t>
  </si>
  <si>
    <t>formula/resumen</t>
  </si>
  <si>
    <t>10 manojos/mata</t>
  </si>
  <si>
    <t>21 paquetes/2 kg</t>
  </si>
  <si>
    <t>150g y 75g</t>
  </si>
  <si>
    <t>18,5 kg/caja</t>
  </si>
  <si>
    <t>50 kg/bulto</t>
  </si>
  <si>
    <t>25 kg/mata</t>
  </si>
  <si>
    <t>65g/paquete</t>
  </si>
  <si>
    <t>360g/paquete 12 und</t>
  </si>
  <si>
    <t>11-12 kg/caja</t>
  </si>
  <si>
    <t>22-24 und/bandeja</t>
  </si>
  <si>
    <t>4 unidades/bandeja</t>
  </si>
  <si>
    <t>10 paquetes/caja</t>
  </si>
  <si>
    <t>45-50 kg/bulto</t>
  </si>
  <si>
    <t>22 kg/caja</t>
  </si>
  <si>
    <t>Codigo</t>
  </si>
  <si>
    <t>Normaliza como</t>
  </si>
  <si>
    <t>KG</t>
  </si>
  <si>
    <t>Kilos</t>
  </si>
  <si>
    <t>KL</t>
  </si>
  <si>
    <t>UND</t>
  </si>
  <si>
    <t>Unidades</t>
  </si>
  <si>
    <t>CJ</t>
  </si>
  <si>
    <t>BT</t>
  </si>
  <si>
    <t>MTA</t>
  </si>
  <si>
    <t>BJA</t>
  </si>
  <si>
    <t>Bandeja</t>
  </si>
  <si>
    <t>PAQ</t>
  </si>
  <si>
    <t>Texto recibido / anterior</t>
  </si>
  <si>
    <t>Producto correcto</t>
  </si>
  <si>
    <t>Nota</t>
  </si>
  <si>
    <t>Corregir nombre en app cuando sea posible.</t>
  </si>
  <si>
    <t>Genjibre</t>
  </si>
  <si>
    <t>Error ortográfico del formato anterior.</t>
  </si>
  <si>
    <t>Producto activo aparece así en la app.</t>
  </si>
  <si>
    <t>Uva Conbinada</t>
  </si>
  <si>
    <t>Corregir nombre.</t>
  </si>
  <si>
    <t>Uva Isabela</t>
  </si>
  <si>
    <t>Normalizar con doble l.</t>
  </si>
  <si>
    <t>Manzana Royal</t>
  </si>
  <si>
    <t>Normalizar a Royale.</t>
  </si>
  <si>
    <t>Son el mismo producto para la app.</t>
  </si>
  <si>
    <t>Conectar al producto Tomate Chonto.</t>
  </si>
  <si>
    <t>No manejar calidades separadas.</t>
  </si>
  <si>
    <t>También actualizar Plátano Maduro con mismo precio.</t>
  </si>
  <si>
    <t>Mora fresca</t>
  </si>
  <si>
    <t>No conectar con Pulpa de Mora.</t>
  </si>
  <si>
    <t>Lulo fresco</t>
  </si>
  <si>
    <t>No conectar con Pulpa de Lulo.</t>
  </si>
  <si>
    <t>Guanábana fresca</t>
  </si>
  <si>
    <t>No conectar con Pulpa de Guanabana.</t>
  </si>
  <si>
    <t>Tomate de Árbol fresco</t>
  </si>
  <si>
    <t>No conectar con pulpa.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</si>
</sst>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\$\ #,##0"/>
  </numFmts>
  <fonts count="7">
    <font>
      <sz val="11"/>
      <name val="Carlito"/>
    </font>
    <font>
      <b/>
      <sz val="16"/>
      <color rgb="FFFFFFFF"/>
      <name val="Carlito"/>
    </font>
    <font>
      <b/>
      <sz val="11"/>
      <color rgb="FF065F35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b/>
      <sz val="11"/>
      <name val="Carlito"/>
    </font>
    <font>
      <sz val="11"/>
      <color rgb="FF111827"/>
      <name val="Carlito"/>
    </font>
  </fonts>
  <fills count="9">
    <fill>
      <patternFill patternType="none"/>
    </fill>
    <fill>
      <patternFill patternType="gray125"/>
    </fill>
    <fill>
      <patternFill patternType="solid">
        <fgColor rgb="FF087B42"/>
      </patternFill>
    </fill>
    <fill>
      <patternFill patternType="solid">
        <fgColor rgb="FFE8F5EE"/>
      </patternFill>
    </fill>
    <fill>
      <patternFill patternType="solid">
        <fgColor rgb="FFF3F4F6"/>
      </patternFill>
    </fill>
    <fill>
      <patternFill patternType="solid">
        <fgColor rgb="FFFFFFFF"/>
      </patternFill>
    </fill>
    <fill>
      <patternFill patternType="solid">
        <fgColor rgb="FFFFF8D6"/>
      </patternFill>
    </fill>
    <fill>
      <patternFill patternType="solid">
        <fgColor rgb="FFDCFCE7"/>
      </patternFill>
    </fill>
    <fill>
      <patternFill patternType="solid">
        <fgColor rgb="FFF2EDF7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3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vertical="top" wrapText="1"/>
    </xf>
    <xf numFmtId="0" fontId="3" fillId="2" borderId="0" xfId="0" applyNumberFormat="1" applyFont="1" applyFill="1" applyBorder="1" applyAlignment="1">
      <alignment horizontal="center" vertical="center" wrapText="1"/>
    </xf>
    <xf numFmtId="0" fontId="0" fillId="4" borderId="0" xfId="0" applyNumberFormat="1" applyFont="1" applyFill="1" applyBorder="1" applyAlignment="1">
      <alignment wrapText="1"/>
    </xf>
    <xf numFmtId="0" fontId="0" fillId="5" borderId="0" xfId="0" applyNumberFormat="1" applyFont="1" applyFill="1" applyBorder="1" applyAlignment="1">
      <alignment wrapText="1"/>
    </xf>
    <xf numFmtId="0" fontId="0" fillId="6" borderId="0" xfId="0" applyNumberFormat="1" applyFont="1" applyFill="1" applyBorder="1" applyAlignment="1">
      <alignment horizontal="center" vertical="center"/>
    </xf>
    <xf numFmtId="0" fontId="5" fillId="4" borderId="0" xfId="0" applyNumberFormat="1" applyFont="1" applyFill="1" applyBorder="1" applyAlignment="1">
      <alignment horizontal="center"/>
    </xf>
    <xf numFmtId="164" fontId="0" fillId="6" borderId="0" xfId="0" applyNumberFormat="1" applyFont="1" applyFill="1" applyBorder="1" applyAlignment="1">
      <alignment horizontal="center" vertical="center"/>
    </xf>
    <xf numFmtId="0" fontId="0" fillId="5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/>
    </xf>
    <xf numFmtId="165" fontId="0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 wrapText="1"/>
    </xf>
    <xf numFmtId="164" fontId="0" fillId="0" borderId="0" xfId="0" applyNumberFormat="1" applyFont="1" applyFill="1" applyBorder="1" applyAlignment="1">
      <alignment vertical="center" wrapText="1"/>
    </xf>
    <xf numFmtId="165" fontId="0" fillId="0" borderId="0" xfId="0" applyNumberFormat="1" applyFont="1" applyFill="1" applyBorder="1" applyAlignment="1">
      <alignment vertical="center" wrapText="1"/>
    </xf>
    <xf numFmtId="1" fontId="0" fillId="0" borderId="0" xfId="0" applyNumberFormat="1" applyFont="1" applyFill="1" applyBorder="1" applyAlignment="1">
      <alignment vertical="top" wrapText="1"/>
    </xf>
    <xf numFmtId="2" fontId="0" fillId="6" borderId="1" xfId="0" applyNumberFormat="1" applyFont="1" applyFill="1" applyBorder="1" applyAlignment="1">
      <alignment horizontal="center" vertical="center"/>
    </xf>
    <xf numFmtId="0" fontId="0" fillId="6" borderId="1" xfId="0" applyNumberFormat="1" applyFont="1" applyFill="1" applyBorder="1" applyAlignment="1">
      <alignment horizontal="center" vertical="center"/>
    </xf>
    <xf numFmtId="0" fontId="6" fillId="5" borderId="1" xfId="0" applyNumberFormat="1" applyFont="1" applyFill="1" applyBorder="1" applyAlignment="1">
      <alignment vertical="center" wrapText="1"/>
    </xf>
    <xf numFmtId="165" fontId="0" fillId="6" borderId="1" xfId="0" applyNumberFormat="1" applyFont="1" applyFill="1" applyBorder="1" applyAlignment="1">
      <alignment horizontal="center" vertical="center"/>
    </xf>
    <xf numFmtId="0" fontId="0" fillId="4" borderId="0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horizontal="center" vertical="center"/>
    </xf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4" fillId="2" borderId="0" xfId="0" applyNumberFormat="1" applyFont="1" applyFill="1" applyBorder="1" applyAlignment="1">
      <alignment horizontal="center"/>
    </xf>
    <xf numFmtId="0" fontId="2" fillId="7" borderId="2" xfId="0" applyNumberFormat="1" applyFont="1" applyFill="1" applyBorder="1" applyAlignment="1">
      <alignment horizontal="center" vertical="center"/>
    </xf>
    <xf numFmtId="165" fontId="2" fillId="7" borderId="2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 wrapText="1"/>
    </xf>
    <xf numFmtId="0" fontId="0" fillId="8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5">
    <dxf>
      <fill>
        <patternFill patternType="solid">
          <bgColor rgb="FFDBEAFE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2EDF7"/>
        </patternFill>
      </fill>
    </dxf>
    <dxf>
      <fill>
        <patternFill patternType="solid">
          <bgColor rgb="FFFFEDD5"/>
        </patternFill>
      </fill>
    </dxf>
    <dxf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ImportAppTable" displayName="ImportAppTable" ref="A1:L92">
  <tableColumns count="12">
    <tableColumn id="1" name="formato"/>
    <tableColumn id="2" name="version"/>
    <tableColumn id="3" name="numeroFactura"/>
    <tableColumn id="4" name="fechaLote"/>
    <tableColumn id="5" name="seccion"/>
    <tableColumn id="6" name="filaExcel"/>
    <tableColumn id="7" name="productoPlantilla"/>
    <tableColumn id="8" name="productoClave"/>
    <tableColumn id="9" name="cantidad"/>
    <tableColumn id="10" name="medida"/>
    <tableColumn id="11" name="totalCompra"/>
    <tableColumn id="12" name="observac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apeoAppTable" displayName="MapeoAppTable" ref="A1:M92">
  <tableColumns count="13">
    <tableColumn id="1" name="seccion"/>
    <tableColumn id="2" name="filaExcel"/>
    <tableColumn id="3" name="productoPlantilla"/>
    <tableColumn id="4" name="productoClave"/>
    <tableColumn id="5" name="estado"/>
    <tableColumn id="6" name="productoAppPrincipal"/>
    <tableColumn id="7" name="appProductId"/>
    <tableColumn id="8" name="productosVinculados"/>
    <tableColumn id="9" name="regla"/>
    <tableColumn id="10" name="margenObjetivo"/>
    <tableColumn id="11" name="unidadCompraSugerida"/>
    <tableColumn id="12" name="unidadVentaSugerida"/>
    <tableColumn id="13" name="no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glasPreciosTable" displayName="ReglasPreciosTable" ref="A1:G91">
  <tableColumns count="7">
    <tableColumn id="1" name="productoClave"/>
    <tableColumn id="2" name="productoReferencia"/>
    <tableColumn id="3" name="tipoRegla"/>
    <tableColumn id="4" name="margenObjetivo"/>
    <tableColumn id="5" name="defaultConversion"/>
    <tableColumn id="6" name="formula/resumen"/>
    <tableColumn id="7" name="observac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UnidadesTable" displayName="UnidadesTable" ref="A1:C17">
  <tableColumns count="3">
    <tableColumn id="1" name="Codigo"/>
    <tableColumn id="2" name="Normaliza como"/>
    <tableColumn id="3" name="Us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liasTable" displayName="AliasTable" ref="A1:D16">
  <tableColumns count="4">
    <tableColumn id="1" name="Texto recibido / anterior"/>
    <tableColumn id="2" name="Producto correcto"/>
    <tableColumn id="3" name="productoClave"/>
    <tableColumn id="4" name="No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selection sqref="A1:H1"/>
    </sheetView>
  </sheetViews>
  <sheetFormatPr baseColWidth="10" defaultColWidth="8.796875" defaultRowHeight="13.8"/>
  <cols>
    <col min="1" max="2" width="24" customWidth="1"/>
  </cols>
  <sheetData>
    <row r="1" spans="1:8" ht="27.15" customHeight="1">
      <c r="A1" s="23" t="s">
        <v>0</v>
      </c>
      <c r="B1" s="24"/>
      <c r="C1" s="24"/>
      <c r="D1" s="24"/>
      <c r="E1" s="24"/>
      <c r="F1" s="24"/>
      <c r="G1" s="24"/>
      <c r="H1" s="24"/>
    </row>
    <row r="3" spans="1:8" ht="33.6" customHeight="1">
      <c r="A3" s="3" t="s">
        <v>1</v>
      </c>
      <c r="B3" s="4" t="s">
        <v>2</v>
      </c>
    </row>
    <row r="4" spans="1:8" ht="33.6" customHeight="1">
      <c r="A4" s="3" t="s">
        <v>3</v>
      </c>
      <c r="B4" s="4" t="s">
        <v>4</v>
      </c>
    </row>
    <row r="5" spans="1:8" ht="33.6" customHeight="1">
      <c r="A5" s="3" t="s">
        <v>5</v>
      </c>
      <c r="B5" s="4" t="s">
        <v>6</v>
      </c>
    </row>
    <row r="6" spans="1:8" ht="33.6" customHeight="1">
      <c r="A6" s="3" t="s">
        <v>7</v>
      </c>
      <c r="B6" s="4" t="s">
        <v>8</v>
      </c>
    </row>
    <row r="7" spans="1:8" ht="33.6" customHeight="1">
      <c r="A7" s="3" t="s">
        <v>9</v>
      </c>
      <c r="B7" s="4" t="s">
        <v>10</v>
      </c>
    </row>
    <row r="8" spans="1:8" ht="33.6" customHeight="1">
      <c r="A8" s="3" t="s">
        <v>11</v>
      </c>
      <c r="B8" s="4" t="s">
        <v>12</v>
      </c>
    </row>
    <row r="10" spans="1:8" ht="20.85" customHeight="1">
      <c r="D10" s="25" t="s">
        <v>13</v>
      </c>
      <c r="E10" s="24"/>
      <c r="F10" s="24"/>
      <c r="G10" s="24"/>
      <c r="H10" s="24"/>
    </row>
    <row r="11" spans="1:8" ht="20.85" customHeight="1">
      <c r="A11" s="5" t="s">
        <v>14</v>
      </c>
      <c r="B11" s="5" t="s">
        <v>15</v>
      </c>
      <c r="D11" s="22" t="s">
        <v>16</v>
      </c>
      <c r="E11" s="22"/>
      <c r="F11" s="22"/>
      <c r="G11" s="22"/>
      <c r="H11" s="22"/>
    </row>
    <row r="12" spans="1:8" ht="20.85" customHeight="1">
      <c r="A12" s="7" t="s">
        <v>17</v>
      </c>
      <c r="B12" s="7" t="s">
        <v>18</v>
      </c>
      <c r="D12" s="22" t="s">
        <v>19</v>
      </c>
      <c r="E12" s="22"/>
      <c r="F12" s="22"/>
      <c r="G12" s="22"/>
      <c r="H12" s="22"/>
    </row>
    <row r="13" spans="1:8" ht="20.85" customHeight="1">
      <c r="A13" s="7" t="s">
        <v>20</v>
      </c>
      <c r="B13" s="7" t="s">
        <v>21</v>
      </c>
      <c r="D13" s="22" t="s">
        <v>22</v>
      </c>
      <c r="E13" s="22"/>
      <c r="F13" s="22"/>
      <c r="G13" s="22"/>
      <c r="H13" s="22"/>
    </row>
    <row r="14" spans="1:8" ht="20.85" customHeight="1">
      <c r="A14" s="7" t="s">
        <v>23</v>
      </c>
      <c r="B14" s="7" t="s">
        <v>24</v>
      </c>
      <c r="D14" s="22" t="s">
        <v>25</v>
      </c>
      <c r="E14" s="22"/>
      <c r="F14" s="22"/>
      <c r="G14" s="22"/>
      <c r="H14" s="22"/>
    </row>
    <row r="15" spans="1:8" ht="20.85" customHeight="1">
      <c r="A15" s="7" t="s">
        <v>26</v>
      </c>
      <c r="B15" s="7" t="s">
        <v>27</v>
      </c>
      <c r="D15" s="22" t="s">
        <v>28</v>
      </c>
      <c r="E15" s="22"/>
      <c r="F15" s="22"/>
      <c r="G15" s="22"/>
      <c r="H15" s="22"/>
    </row>
    <row r="16" spans="1:8" ht="20.85" customHeight="1">
      <c r="A16" s="7" t="s">
        <v>29</v>
      </c>
      <c r="B16" s="7" t="s">
        <v>30</v>
      </c>
      <c r="D16" s="22" t="s">
        <v>31</v>
      </c>
      <c r="E16" s="22"/>
      <c r="F16" s="22"/>
      <c r="G16" s="22"/>
      <c r="H16" s="22"/>
    </row>
    <row r="17" spans="1:2">
      <c r="A17" s="7" t="s">
        <v>32</v>
      </c>
      <c r="B17" s="7" t="s">
        <v>33</v>
      </c>
    </row>
    <row r="18" spans="1:2">
      <c r="A18" s="7" t="s">
        <v>34</v>
      </c>
      <c r="B18" s="7" t="s">
        <v>35</v>
      </c>
    </row>
    <row r="19" spans="1:2">
      <c r="A19" s="7" t="s">
        <v>36</v>
      </c>
      <c r="B19" s="7" t="s">
        <v>37</v>
      </c>
    </row>
  </sheetData>
  <mergeCells count="8">
    <mergeCell ref="D14:H14"/>
    <mergeCell ref="D15:H15"/>
    <mergeCell ref="D16:H16"/>
    <mergeCell ref="A1:H1"/>
    <mergeCell ref="D10:H10"/>
    <mergeCell ref="D11:H11"/>
    <mergeCell ref="D12:H12"/>
    <mergeCell ref="D13:H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baseColWidth="10" defaultColWidth="8.796875" defaultRowHeight="13.8"/>
  <cols>
    <col min="1" max="1" width="26" customWidth="1"/>
    <col min="2" max="2" width="42" customWidth="1"/>
  </cols>
  <sheetData>
    <row r="1" spans="1:4" ht="19.2">
      <c r="A1" s="26" t="s">
        <v>38</v>
      </c>
      <c r="B1" s="24"/>
      <c r="C1" s="24"/>
      <c r="D1" s="24"/>
    </row>
    <row r="3" spans="1:4">
      <c r="A3" s="5" t="s">
        <v>39</v>
      </c>
      <c r="B3" s="5" t="s">
        <v>40</v>
      </c>
    </row>
    <row r="4" spans="1:4">
      <c r="A4" s="1" t="s">
        <v>41</v>
      </c>
      <c r="B4" s="8"/>
    </row>
    <row r="5" spans="1:4">
      <c r="A5" s="1" t="s">
        <v>42</v>
      </c>
      <c r="B5" s="10"/>
    </row>
    <row r="6" spans="1:4">
      <c r="A6" s="1" t="s">
        <v>43</v>
      </c>
      <c r="B6" s="8"/>
    </row>
    <row r="7" spans="1:4">
      <c r="A7" s="1" t="s">
        <v>44</v>
      </c>
      <c r="B7" s="8"/>
    </row>
    <row r="8" spans="1:4">
      <c r="A8" s="1" t="s">
        <v>45</v>
      </c>
      <c r="B8" s="8"/>
    </row>
    <row r="9" spans="1:4">
      <c r="A9" s="1" t="s">
        <v>46</v>
      </c>
      <c r="B9" s="9" t="s">
        <v>47</v>
      </c>
    </row>
    <row r="11" spans="1:4">
      <c r="A11" s="5" t="s">
        <v>48</v>
      </c>
      <c r="B11" s="5" t="s">
        <v>49</v>
      </c>
      <c r="C11" s="5"/>
      <c r="D11" s="5"/>
    </row>
    <row r="12" spans="1:4">
      <c r="A12" s="1" t="s">
        <v>50</v>
      </c>
      <c r="B12" s="2" t="s">
        <v>51</v>
      </c>
      <c r="C12" s="2"/>
      <c r="D12" s="2"/>
    </row>
    <row r="13" spans="1:4">
      <c r="A13" s="1" t="s">
        <v>52</v>
      </c>
      <c r="B13" s="2" t="s">
        <v>53</v>
      </c>
      <c r="C13" s="2"/>
      <c r="D13" s="2"/>
    </row>
    <row r="14" spans="1:4" ht="27.6">
      <c r="A14" s="1" t="s">
        <v>9</v>
      </c>
      <c r="B14" s="2" t="s">
        <v>54</v>
      </c>
      <c r="C14" s="2"/>
      <c r="D14" s="2"/>
    </row>
    <row r="15" spans="1:4" ht="27.6">
      <c r="A15" s="1" t="s">
        <v>55</v>
      </c>
      <c r="B15" s="2" t="s">
        <v>56</v>
      </c>
      <c r="C15" s="2"/>
      <c r="D15" s="2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tabSelected="1" topLeftCell="A43" workbookViewId="0">
      <selection activeCell="D57" sqref="D57"/>
    </sheetView>
  </sheetViews>
  <sheetFormatPr baseColWidth="10" defaultColWidth="8.796875" defaultRowHeight="13.8"/>
  <cols>
    <col min="1" max="1" width="10" customWidth="1"/>
    <col min="2" max="2" width="14" customWidth="1"/>
    <col min="3" max="3" width="26" customWidth="1"/>
    <col min="4" max="4" width="16" customWidth="1"/>
    <col min="5" max="5" width="3" customWidth="1"/>
    <col min="6" max="6" width="10" customWidth="1"/>
    <col min="7" max="7" width="14" customWidth="1"/>
    <col min="8" max="8" width="28" customWidth="1"/>
    <col min="9" max="9" width="16" customWidth="1"/>
  </cols>
  <sheetData>
    <row r="1" spans="1:9" ht="17.55" customHeight="1">
      <c r="A1" s="5" t="s">
        <v>57</v>
      </c>
      <c r="B1" s="5" t="s">
        <v>58</v>
      </c>
      <c r="C1" s="5" t="s">
        <v>59</v>
      </c>
      <c r="D1" s="5" t="s">
        <v>60</v>
      </c>
      <c r="E1" s="11"/>
      <c r="F1" s="5" t="s">
        <v>57</v>
      </c>
      <c r="G1" s="5" t="s">
        <v>58</v>
      </c>
      <c r="H1" s="5" t="s">
        <v>59</v>
      </c>
      <c r="I1" s="5" t="s">
        <v>60</v>
      </c>
    </row>
    <row r="2" spans="1:9" ht="17.55" customHeight="1">
      <c r="A2" s="18"/>
      <c r="B2" s="19"/>
      <c r="C2" s="20" t="s">
        <v>61</v>
      </c>
      <c r="D2" s="21"/>
      <c r="E2" s="11"/>
      <c r="F2" s="18"/>
      <c r="G2" s="19"/>
      <c r="H2" s="20" t="s">
        <v>62</v>
      </c>
      <c r="I2" s="21"/>
    </row>
    <row r="3" spans="1:9" ht="17.55" customHeight="1">
      <c r="A3" s="18"/>
      <c r="B3" s="19"/>
      <c r="C3" s="20" t="s">
        <v>63</v>
      </c>
      <c r="D3" s="21"/>
      <c r="E3" s="11"/>
      <c r="F3" s="18"/>
      <c r="G3" s="19"/>
      <c r="H3" s="20" t="s">
        <v>64</v>
      </c>
      <c r="I3" s="21"/>
    </row>
    <row r="4" spans="1:9" ht="17.55" customHeight="1">
      <c r="A4" s="18"/>
      <c r="B4" s="19"/>
      <c r="C4" s="20" t="s">
        <v>65</v>
      </c>
      <c r="D4" s="21"/>
      <c r="E4" s="11"/>
      <c r="F4" s="18"/>
      <c r="G4" s="19"/>
      <c r="H4" s="20" t="s">
        <v>66</v>
      </c>
      <c r="I4" s="21"/>
    </row>
    <row r="5" spans="1:9" ht="17.55" customHeight="1">
      <c r="A5" s="18"/>
      <c r="B5" s="19"/>
      <c r="C5" s="20" t="s">
        <v>67</v>
      </c>
      <c r="D5" s="21"/>
      <c r="E5" s="11"/>
      <c r="F5" s="18"/>
      <c r="G5" s="19"/>
      <c r="H5" s="20" t="s">
        <v>68</v>
      </c>
      <c r="I5" s="21"/>
    </row>
    <row r="6" spans="1:9" ht="17.55" customHeight="1">
      <c r="A6" s="18"/>
      <c r="B6" s="19"/>
      <c r="C6" s="20" t="s">
        <v>69</v>
      </c>
      <c r="D6" s="21"/>
      <c r="E6" s="11"/>
      <c r="F6" s="18"/>
      <c r="G6" s="19"/>
      <c r="H6" s="20" t="s">
        <v>70</v>
      </c>
      <c r="I6" s="21"/>
    </row>
    <row r="7" spans="1:9" ht="17.55" customHeight="1">
      <c r="A7" s="18"/>
      <c r="B7" s="19"/>
      <c r="C7" s="20" t="s">
        <v>71</v>
      </c>
      <c r="D7" s="21"/>
      <c r="E7" s="11"/>
      <c r="F7" s="18"/>
      <c r="G7" s="19"/>
      <c r="H7" s="20" t="s">
        <v>72</v>
      </c>
      <c r="I7" s="21"/>
    </row>
    <row r="8" spans="1:9" ht="17.55" customHeight="1">
      <c r="A8" s="18"/>
      <c r="B8" s="19"/>
      <c r="C8" s="20" t="s">
        <v>73</v>
      </c>
      <c r="D8" s="21"/>
      <c r="E8" s="11"/>
      <c r="F8" s="18"/>
      <c r="G8" s="19"/>
      <c r="H8" s="20" t="s">
        <v>74</v>
      </c>
      <c r="I8" s="21"/>
    </row>
    <row r="9" spans="1:9" ht="17.55" customHeight="1">
      <c r="A9" s="18"/>
      <c r="B9" s="19"/>
      <c r="C9" s="20" t="s">
        <v>75</v>
      </c>
      <c r="D9" s="21"/>
      <c r="E9" s="11"/>
      <c r="F9" s="18"/>
      <c r="G9" s="19"/>
      <c r="H9" s="20" t="s">
        <v>76</v>
      </c>
      <c r="I9" s="21"/>
    </row>
    <row r="10" spans="1:9" ht="17.55" customHeight="1">
      <c r="A10" s="18"/>
      <c r="B10" s="19"/>
      <c r="C10" s="20" t="s">
        <v>77</v>
      </c>
      <c r="D10" s="21"/>
      <c r="E10" s="11"/>
      <c r="F10" s="18"/>
      <c r="G10" s="19"/>
      <c r="H10" s="20" t="s">
        <v>78</v>
      </c>
      <c r="I10" s="21"/>
    </row>
    <row r="11" spans="1:9" ht="17.55" customHeight="1">
      <c r="A11" s="18"/>
      <c r="B11" s="19"/>
      <c r="C11" s="20" t="s">
        <v>79</v>
      </c>
      <c r="D11" s="21"/>
      <c r="E11" s="11"/>
      <c r="F11" s="18"/>
      <c r="G11" s="19"/>
      <c r="H11" s="20" t="s">
        <v>80</v>
      </c>
      <c r="I11" s="21"/>
    </row>
    <row r="12" spans="1:9" ht="17.55" customHeight="1">
      <c r="A12" s="18"/>
      <c r="B12" s="19"/>
      <c r="C12" s="20" t="s">
        <v>81</v>
      </c>
      <c r="D12" s="21"/>
      <c r="E12" s="11"/>
      <c r="F12" s="18"/>
      <c r="G12" s="19"/>
      <c r="H12" s="20" t="s">
        <v>82</v>
      </c>
      <c r="I12" s="21"/>
    </row>
    <row r="13" spans="1:9" ht="17.55" customHeight="1">
      <c r="A13" s="18"/>
      <c r="B13" s="19"/>
      <c r="C13" s="20" t="s">
        <v>83</v>
      </c>
      <c r="D13" s="21"/>
      <c r="E13" s="11"/>
      <c r="F13" s="18"/>
      <c r="G13" s="19"/>
      <c r="H13" s="20" t="s">
        <v>84</v>
      </c>
      <c r="I13" s="21"/>
    </row>
    <row r="14" spans="1:9" ht="17.55" customHeight="1">
      <c r="A14" s="18"/>
      <c r="B14" s="19"/>
      <c r="C14" s="20" t="s">
        <v>85</v>
      </c>
      <c r="D14" s="21"/>
      <c r="E14" s="11"/>
      <c r="F14" s="18"/>
      <c r="G14" s="19"/>
      <c r="H14" s="20" t="s">
        <v>86</v>
      </c>
      <c r="I14" s="21"/>
    </row>
    <row r="15" spans="1:9" ht="17.55" customHeight="1">
      <c r="A15" s="18"/>
      <c r="B15" s="19"/>
      <c r="C15" s="20" t="s">
        <v>87</v>
      </c>
      <c r="D15" s="21"/>
      <c r="E15" s="11"/>
      <c r="F15" s="18"/>
      <c r="G15" s="19"/>
      <c r="H15" s="20" t="s">
        <v>88</v>
      </c>
      <c r="I15" s="21"/>
    </row>
    <row r="16" spans="1:9" ht="17.55" customHeight="1">
      <c r="A16" s="18"/>
      <c r="B16" s="19"/>
      <c r="C16" s="20" t="s">
        <v>89</v>
      </c>
      <c r="D16" s="21"/>
      <c r="E16" s="11"/>
      <c r="F16" s="18"/>
      <c r="G16" s="19"/>
      <c r="H16" s="20" t="s">
        <v>90</v>
      </c>
      <c r="I16" s="21"/>
    </row>
    <row r="17" spans="1:9" ht="17.55" customHeight="1">
      <c r="A17" s="18"/>
      <c r="B17" s="19"/>
      <c r="C17" s="20" t="s">
        <v>91</v>
      </c>
      <c r="D17" s="21"/>
      <c r="E17" s="11"/>
      <c r="F17" s="18"/>
      <c r="G17" s="19"/>
      <c r="H17" s="20" t="s">
        <v>92</v>
      </c>
      <c r="I17" s="21"/>
    </row>
    <row r="18" spans="1:9" ht="17.55" customHeight="1">
      <c r="A18" s="18"/>
      <c r="B18" s="19"/>
      <c r="C18" s="20" t="s">
        <v>93</v>
      </c>
      <c r="D18" s="21"/>
      <c r="E18" s="11"/>
      <c r="F18" s="18"/>
      <c r="G18" s="19"/>
      <c r="H18" s="20" t="s">
        <v>94</v>
      </c>
      <c r="I18" s="21"/>
    </row>
    <row r="19" spans="1:9" ht="17.55" customHeight="1">
      <c r="A19" s="18"/>
      <c r="B19" s="19"/>
      <c r="C19" s="20" t="s">
        <v>95</v>
      </c>
      <c r="D19" s="21"/>
      <c r="E19" s="11"/>
      <c r="F19" s="18"/>
      <c r="G19" s="19"/>
      <c r="H19" s="20" t="s">
        <v>96</v>
      </c>
      <c r="I19" s="21"/>
    </row>
    <row r="20" spans="1:9" ht="17.55" customHeight="1">
      <c r="A20" s="18"/>
      <c r="B20" s="19"/>
      <c r="C20" s="20" t="s">
        <v>97</v>
      </c>
      <c r="D20" s="21"/>
      <c r="E20" s="11"/>
      <c r="F20" s="18"/>
      <c r="G20" s="19"/>
      <c r="H20" s="20" t="s">
        <v>98</v>
      </c>
      <c r="I20" s="21"/>
    </row>
    <row r="21" spans="1:9" ht="17.55" customHeight="1">
      <c r="A21" s="18"/>
      <c r="B21" s="19"/>
      <c r="C21" s="20" t="s">
        <v>99</v>
      </c>
      <c r="D21" s="21"/>
      <c r="E21" s="11"/>
      <c r="F21" s="18"/>
      <c r="G21" s="19"/>
      <c r="H21" s="20" t="s">
        <v>100</v>
      </c>
      <c r="I21" s="21"/>
    </row>
    <row r="22" spans="1:9" ht="17.55" customHeight="1">
      <c r="A22" s="18"/>
      <c r="B22" s="19"/>
      <c r="C22" s="20" t="s">
        <v>101</v>
      </c>
      <c r="D22" s="21"/>
      <c r="E22" s="11"/>
      <c r="F22" s="18"/>
      <c r="G22" s="19"/>
      <c r="H22" s="20" t="s">
        <v>102</v>
      </c>
      <c r="I22" s="21"/>
    </row>
    <row r="23" spans="1:9" ht="17.55" customHeight="1">
      <c r="A23" s="18"/>
      <c r="B23" s="19"/>
      <c r="C23" s="20" t="s">
        <v>103</v>
      </c>
      <c r="D23" s="21"/>
      <c r="E23" s="11"/>
      <c r="F23" s="18"/>
      <c r="G23" s="19"/>
      <c r="H23" s="20" t="s">
        <v>104</v>
      </c>
      <c r="I23" s="21"/>
    </row>
    <row r="24" spans="1:9" ht="17.55" customHeight="1">
      <c r="A24" s="18"/>
      <c r="B24" s="19"/>
      <c r="C24" s="20" t="s">
        <v>105</v>
      </c>
      <c r="D24" s="21"/>
      <c r="E24" s="11"/>
      <c r="F24" s="18"/>
      <c r="G24" s="19"/>
      <c r="H24" s="20" t="s">
        <v>106</v>
      </c>
      <c r="I24" s="21"/>
    </row>
    <row r="25" spans="1:9" ht="17.55" customHeight="1">
      <c r="A25" s="18"/>
      <c r="B25" s="19"/>
      <c r="C25" s="20" t="s">
        <v>107</v>
      </c>
      <c r="D25" s="21"/>
      <c r="E25" s="11"/>
      <c r="F25" s="18"/>
      <c r="G25" s="19"/>
      <c r="H25" s="20" t="s">
        <v>108</v>
      </c>
      <c r="I25" s="21"/>
    </row>
    <row r="26" spans="1:9" ht="17.55" customHeight="1">
      <c r="A26" s="18"/>
      <c r="B26" s="19"/>
      <c r="C26" s="20" t="s">
        <v>109</v>
      </c>
      <c r="D26" s="21"/>
      <c r="E26" s="11"/>
      <c r="F26" s="18"/>
      <c r="G26" s="19"/>
      <c r="H26" s="20" t="s">
        <v>110</v>
      </c>
      <c r="I26" s="21"/>
    </row>
    <row r="27" spans="1:9" ht="17.55" customHeight="1">
      <c r="A27" s="18"/>
      <c r="B27" s="19"/>
      <c r="C27" s="20" t="s">
        <v>111</v>
      </c>
      <c r="D27" s="21"/>
      <c r="E27" s="11"/>
      <c r="F27" s="18"/>
      <c r="G27" s="19"/>
      <c r="H27" s="20" t="s">
        <v>112</v>
      </c>
      <c r="I27" s="21"/>
    </row>
    <row r="28" spans="1:9" ht="17.55" customHeight="1">
      <c r="A28" s="18"/>
      <c r="B28" s="19"/>
      <c r="C28" s="20" t="s">
        <v>113</v>
      </c>
      <c r="D28" s="21"/>
      <c r="E28" s="11"/>
      <c r="F28" s="18"/>
      <c r="G28" s="19"/>
      <c r="H28" s="20" t="s">
        <v>114</v>
      </c>
      <c r="I28" s="21"/>
    </row>
    <row r="29" spans="1:9" ht="17.55" customHeight="1">
      <c r="A29" s="18"/>
      <c r="B29" s="19"/>
      <c r="C29" s="20" t="s">
        <v>115</v>
      </c>
      <c r="D29" s="21"/>
      <c r="E29" s="11"/>
      <c r="F29" s="18"/>
      <c r="G29" s="19"/>
      <c r="H29" s="20" t="s">
        <v>116</v>
      </c>
      <c r="I29" s="21"/>
    </row>
    <row r="30" spans="1:9" ht="17.55" customHeight="1">
      <c r="A30" s="18"/>
      <c r="B30" s="19"/>
      <c r="C30" s="20" t="s">
        <v>117</v>
      </c>
      <c r="D30" s="21"/>
      <c r="E30" s="11"/>
      <c r="F30" s="18"/>
      <c r="G30" s="19"/>
      <c r="H30" s="20" t="s">
        <v>118</v>
      </c>
      <c r="I30" s="21"/>
    </row>
    <row r="31" spans="1:9" ht="17.55" customHeight="1">
      <c r="A31" s="18"/>
      <c r="B31" s="19"/>
      <c r="C31" s="20" t="s">
        <v>119</v>
      </c>
      <c r="D31" s="21"/>
      <c r="E31" s="11"/>
      <c r="F31" s="18"/>
      <c r="G31" s="19"/>
      <c r="H31" s="20" t="s">
        <v>120</v>
      </c>
      <c r="I31" s="21"/>
    </row>
    <row r="32" spans="1:9" ht="17.55" customHeight="1">
      <c r="A32" s="18"/>
      <c r="B32" s="19"/>
      <c r="C32" s="20" t="s">
        <v>121</v>
      </c>
      <c r="D32" s="21"/>
      <c r="E32" s="11"/>
      <c r="F32" s="18"/>
      <c r="G32" s="19"/>
      <c r="H32" s="20" t="s">
        <v>122</v>
      </c>
      <c r="I32" s="21"/>
    </row>
    <row r="33" spans="1:9" ht="17.55" customHeight="1">
      <c r="A33" s="18"/>
      <c r="B33" s="19"/>
      <c r="C33" s="20" t="s">
        <v>123</v>
      </c>
      <c r="D33" s="21"/>
      <c r="E33" s="11"/>
      <c r="F33" s="18"/>
      <c r="G33" s="19"/>
      <c r="H33" s="20" t="s">
        <v>124</v>
      </c>
      <c r="I33" s="21"/>
    </row>
    <row r="34" spans="1:9" ht="17.55" customHeight="1">
      <c r="A34" s="18"/>
      <c r="B34" s="19"/>
      <c r="C34" s="20" t="s">
        <v>125</v>
      </c>
      <c r="D34" s="21"/>
      <c r="E34" s="11"/>
      <c r="F34" s="18"/>
      <c r="G34" s="19"/>
      <c r="H34" s="20" t="s">
        <v>126</v>
      </c>
      <c r="I34" s="21"/>
    </row>
    <row r="35" spans="1:9" ht="17.55" customHeight="1">
      <c r="A35" s="18"/>
      <c r="B35" s="19"/>
      <c r="C35" s="20" t="s">
        <v>127</v>
      </c>
      <c r="D35" s="21"/>
      <c r="E35" s="11"/>
      <c r="F35" s="18"/>
      <c r="G35" s="19"/>
      <c r="H35" s="20" t="s">
        <v>128</v>
      </c>
      <c r="I35" s="21"/>
    </row>
    <row r="36" spans="1:9" ht="17.55" customHeight="1">
      <c r="A36" s="18"/>
      <c r="B36" s="19"/>
      <c r="C36" s="20" t="s">
        <v>129</v>
      </c>
      <c r="D36" s="21"/>
      <c r="E36" s="11"/>
      <c r="F36" s="18"/>
      <c r="G36" s="19"/>
      <c r="H36" s="20" t="s">
        <v>130</v>
      </c>
      <c r="I36" s="21"/>
    </row>
    <row r="37" spans="1:9" ht="17.55" customHeight="1">
      <c r="A37" s="18"/>
      <c r="B37" s="19"/>
      <c r="C37" s="20" t="s">
        <v>131</v>
      </c>
      <c r="D37" s="21"/>
      <c r="E37" s="11"/>
      <c r="F37" s="18"/>
      <c r="G37" s="19"/>
      <c r="H37" s="20" t="s">
        <v>132</v>
      </c>
      <c r="I37" s="21"/>
    </row>
    <row r="38" spans="1:9" ht="17.55" customHeight="1">
      <c r="A38" s="18"/>
      <c r="B38" s="19"/>
      <c r="C38" s="20" t="s">
        <v>133</v>
      </c>
      <c r="D38" s="21"/>
      <c r="E38" s="11"/>
      <c r="F38" s="18"/>
      <c r="G38" s="19"/>
      <c r="H38" s="20" t="s">
        <v>134</v>
      </c>
      <c r="I38" s="21"/>
    </row>
    <row r="39" spans="1:9" ht="17.55" customHeight="1">
      <c r="A39" s="18"/>
      <c r="B39" s="19"/>
      <c r="C39" s="20" t="s">
        <v>135</v>
      </c>
      <c r="D39" s="21"/>
      <c r="E39" s="11"/>
      <c r="F39" s="18"/>
      <c r="G39" s="19"/>
      <c r="H39" s="20" t="s">
        <v>136</v>
      </c>
      <c r="I39" s="21"/>
    </row>
    <row r="40" spans="1:9" ht="17.55" customHeight="1">
      <c r="A40" s="18"/>
      <c r="B40" s="19"/>
      <c r="C40" s="20" t="s">
        <v>137</v>
      </c>
      <c r="D40" s="21"/>
      <c r="E40" s="11"/>
      <c r="F40" s="18"/>
      <c r="G40" s="19"/>
      <c r="H40" s="20" t="s">
        <v>138</v>
      </c>
      <c r="I40" s="21"/>
    </row>
    <row r="41" spans="1:9" ht="17.55" customHeight="1">
      <c r="A41" s="18"/>
      <c r="B41" s="19"/>
      <c r="C41" s="20" t="s">
        <v>139</v>
      </c>
      <c r="D41" s="21"/>
      <c r="E41" s="11"/>
      <c r="F41" s="18"/>
      <c r="G41" s="19"/>
      <c r="H41" s="20" t="s">
        <v>140</v>
      </c>
      <c r="I41" s="21"/>
    </row>
    <row r="42" spans="1:9" ht="17.55" customHeight="1">
      <c r="A42" s="18"/>
      <c r="B42" s="19"/>
      <c r="C42" s="20" t="s">
        <v>141</v>
      </c>
      <c r="D42" s="21"/>
      <c r="E42" s="11"/>
      <c r="F42" s="18"/>
      <c r="G42" s="19"/>
      <c r="H42" s="20" t="s">
        <v>142</v>
      </c>
      <c r="I42" s="21"/>
    </row>
    <row r="43" spans="1:9" ht="17.55" customHeight="1">
      <c r="A43" s="18"/>
      <c r="B43" s="19"/>
      <c r="C43" s="20" t="s">
        <v>143</v>
      </c>
      <c r="D43" s="21"/>
      <c r="E43" s="11"/>
      <c r="F43" s="18"/>
      <c r="G43" s="19"/>
      <c r="H43" s="20" t="s">
        <v>144</v>
      </c>
      <c r="I43" s="21"/>
    </row>
    <row r="44" spans="1:9" ht="17.55" customHeight="1">
      <c r="A44" s="18"/>
      <c r="B44" s="19"/>
      <c r="C44" s="20" t="s">
        <v>145</v>
      </c>
      <c r="D44" s="21"/>
      <c r="E44" s="11"/>
      <c r="F44" s="18"/>
      <c r="G44" s="19"/>
      <c r="H44" s="20" t="s">
        <v>146</v>
      </c>
      <c r="I44" s="21"/>
    </row>
    <row r="45" spans="1:9" ht="17.55" customHeight="1">
      <c r="A45" s="18"/>
      <c r="B45" s="19"/>
      <c r="C45" s="20" t="s">
        <v>147</v>
      </c>
      <c r="D45" s="21"/>
      <c r="E45" s="11"/>
      <c r="F45" s="18"/>
      <c r="G45" s="19"/>
      <c r="H45" s="20" t="s">
        <v>148</v>
      </c>
      <c r="I45" s="21"/>
    </row>
    <row r="46" spans="1:9" ht="17.55" customHeight="1">
      <c r="A46" s="18"/>
      <c r="B46" s="19"/>
      <c r="C46" s="20" t="s">
        <v>149</v>
      </c>
      <c r="D46" s="21"/>
      <c r="E46" s="11"/>
      <c r="F46" s="18"/>
      <c r="G46" s="19"/>
      <c r="H46" s="20" t="s">
        <v>150</v>
      </c>
      <c r="I46" s="21"/>
    </row>
    <row r="47" spans="1:9" ht="17.55" customHeight="1">
      <c r="A47" s="18"/>
      <c r="B47" s="19"/>
      <c r="C47" s="20" t="s">
        <v>151</v>
      </c>
      <c r="D47" s="21"/>
      <c r="E47" s="11"/>
      <c r="F47" s="12"/>
      <c r="G47" s="12"/>
      <c r="H47" s="12"/>
      <c r="I47" s="13"/>
    </row>
    <row r="48" spans="1:9" ht="17.55" customHeight="1">
      <c r="A48" s="12"/>
      <c r="B48" s="12"/>
      <c r="C48" s="12"/>
      <c r="D48" s="12"/>
      <c r="E48" s="11"/>
      <c r="F48" s="12"/>
      <c r="G48" s="12"/>
      <c r="H48" s="12"/>
      <c r="I48" s="13"/>
    </row>
    <row r="49" spans="1:9" ht="17.55" customHeight="1">
      <c r="A49" s="12"/>
      <c r="B49" s="12"/>
      <c r="C49" s="12"/>
      <c r="D49" s="12"/>
      <c r="E49" s="11"/>
      <c r="F49" s="12"/>
      <c r="G49" s="12"/>
      <c r="H49" s="27" t="s">
        <v>152</v>
      </c>
      <c r="I49" s="28">
        <f>SUM(D2:D47)+SUM(I2:I46)</f>
        <v>0</v>
      </c>
    </row>
    <row r="50" spans="1:9" ht="17.55" customHeight="1">
      <c r="A50" s="29" t="s">
        <v>153</v>
      </c>
      <c r="B50" s="30" t="s">
        <v>154</v>
      </c>
      <c r="C50" s="30"/>
      <c r="D50" s="30"/>
      <c r="E50" s="30"/>
      <c r="F50" s="30"/>
      <c r="G50" s="30"/>
      <c r="H50" s="30"/>
      <c r="I50" s="30"/>
    </row>
    <row r="51" spans="1:9" ht="17.55" customHeight="1">
      <c r="A51" s="29" t="s">
        <v>155</v>
      </c>
      <c r="B51" s="30" t="s">
        <v>156</v>
      </c>
      <c r="C51" s="30"/>
      <c r="D51" s="30"/>
      <c r="E51" s="30"/>
      <c r="F51" s="30"/>
      <c r="G51" s="30"/>
      <c r="H51" s="30"/>
      <c r="I51" s="30"/>
    </row>
    <row r="52" spans="1:9" ht="17.55" customHeight="1">
      <c r="A52" s="29" t="s">
        <v>157</v>
      </c>
      <c r="B52" s="30" t="s">
        <v>158</v>
      </c>
      <c r="C52" s="30"/>
      <c r="D52" s="30"/>
      <c r="E52" s="30"/>
      <c r="F52" s="30"/>
      <c r="G52" s="30"/>
      <c r="H52" s="30"/>
      <c r="I52" s="30"/>
    </row>
    <row r="53" spans="1:9" ht="17.55" customHeight="1">
      <c r="A53" s="12"/>
      <c r="B53" s="12"/>
      <c r="C53" s="12"/>
      <c r="D53" s="12"/>
      <c r="E53" s="12"/>
      <c r="F53" s="12"/>
      <c r="G53" s="12"/>
      <c r="H53" s="12"/>
      <c r="I53" s="12"/>
    </row>
  </sheetData>
  <mergeCells count="3">
    <mergeCell ref="B50:I50"/>
    <mergeCell ref="B51:I51"/>
    <mergeCell ref="B52:I52"/>
  </mergeCells>
  <dataValidations count="2">
    <dataValidation type="list" sqref="B2:B47">
      <formula1>"KG,KL,KILO,UND,UNIDAD,CJ,CAJA,BT,BULTO,MTA,MATA,BJA,BANDEJA,PAQ,PAQUETE,ARROBA"</formula1>
    </dataValidation>
    <dataValidation type="list" sqref="G2:G46">
      <formula1>"KG,KL,KILO,UND,UNIDAD,CJ,CAJA,BT,BULTO,MTA,MATA,BJA,BANDEJA,PAQ,PAQUETE,ARROBA"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2"/>
  <sheetViews>
    <sheetView workbookViewId="0"/>
  </sheetViews>
  <sheetFormatPr baseColWidth="10" defaultColWidth="8.796875" defaultRowHeight="13.8"/>
  <cols>
    <col min="1" max="1" width="22" customWidth="1"/>
    <col min="2" max="2" width="10" customWidth="1"/>
    <col min="3" max="3" width="18" customWidth="1"/>
    <col min="4" max="5" width="14" customWidth="1"/>
    <col min="6" max="6" width="10" customWidth="1"/>
    <col min="7" max="7" width="28" customWidth="1"/>
    <col min="8" max="8" width="24" customWidth="1"/>
    <col min="9" max="9" width="12" customWidth="1"/>
    <col min="10" max="10" width="14" customWidth="1"/>
    <col min="11" max="11" width="16" customWidth="1"/>
    <col min="12" max="12" width="28" customWidth="1"/>
    <col min="14" max="14" width="42" customWidth="1"/>
  </cols>
  <sheetData>
    <row r="1" spans="1:14" ht="22.35" customHeight="1">
      <c r="A1" s="5" t="s">
        <v>159</v>
      </c>
      <c r="B1" s="5" t="s">
        <v>160</v>
      </c>
      <c r="C1" s="5" t="s">
        <v>161</v>
      </c>
      <c r="D1" s="5" t="s">
        <v>162</v>
      </c>
      <c r="E1" s="5" t="s">
        <v>163</v>
      </c>
      <c r="F1" s="5" t="s">
        <v>164</v>
      </c>
      <c r="G1" s="5" t="s">
        <v>165</v>
      </c>
      <c r="H1" s="5" t="s">
        <v>166</v>
      </c>
      <c r="I1" s="5" t="s">
        <v>167</v>
      </c>
      <c r="J1" s="5" t="s">
        <v>168</v>
      </c>
      <c r="K1" s="5" t="s">
        <v>169</v>
      </c>
      <c r="L1" s="5" t="s">
        <v>170</v>
      </c>
      <c r="N1" s="5" t="s">
        <v>171</v>
      </c>
    </row>
    <row r="2" spans="1:14" ht="41.4">
      <c r="A2" s="14" t="s">
        <v>172</v>
      </c>
      <c r="B2" s="14">
        <v>1</v>
      </c>
      <c r="C2" s="14" t="str">
        <f>IF(DATOS_LOTE!$B$4="","",DATOS_LOTE!$B$4)</f>
        <v/>
      </c>
      <c r="D2" s="15" t="str">
        <f>IF(DATOS_LOTE!$B$5="","",DATOS_LOTE!$B$5)</f>
        <v/>
      </c>
      <c r="E2" s="14" t="s">
        <v>173</v>
      </c>
      <c r="F2" s="14">
        <v>2</v>
      </c>
      <c r="G2" s="14" t="s">
        <v>61</v>
      </c>
      <c r="H2" s="14" t="s">
        <v>174</v>
      </c>
      <c r="I2" s="14" t="str">
        <f>IF(FACTURA_LIMPIA!A2="","",FACTURA_LIMPIA!A2)</f>
        <v/>
      </c>
      <c r="J2" s="14" t="str">
        <f>IF(FACTURA_LIMPIA!B2="","",FACTURA_LIMPIA!B2)</f>
        <v/>
      </c>
      <c r="K2" s="16" t="str">
        <f>IF(FACTURA_LIMPIA!D2="","",FACTURA_LIMPIA!D2)</f>
        <v/>
      </c>
      <c r="L2" s="14"/>
      <c r="N2" s="6" t="s">
        <v>175</v>
      </c>
    </row>
    <row r="3" spans="1:14">
      <c r="A3" s="14" t="s">
        <v>172</v>
      </c>
      <c r="B3" s="14">
        <v>1</v>
      </c>
      <c r="C3" s="14" t="str">
        <f>IF(DATOS_LOTE!$B$4="","",DATOS_LOTE!$B$4)</f>
        <v/>
      </c>
      <c r="D3" s="15" t="str">
        <f>IF(DATOS_LOTE!$B$5="","",DATOS_LOTE!$B$5)</f>
        <v/>
      </c>
      <c r="E3" s="14" t="s">
        <v>173</v>
      </c>
      <c r="F3" s="14">
        <v>3</v>
      </c>
      <c r="G3" s="14" t="s">
        <v>63</v>
      </c>
      <c r="H3" s="14" t="s">
        <v>176</v>
      </c>
      <c r="I3" s="14" t="str">
        <f>IF(FACTURA_LIMPIA!A3="","",FACTURA_LIMPIA!A3)</f>
        <v/>
      </c>
      <c r="J3" s="14" t="str">
        <f>IF(FACTURA_LIMPIA!B3="","",FACTURA_LIMPIA!B3)</f>
        <v/>
      </c>
      <c r="K3" s="16" t="str">
        <f>IF(FACTURA_LIMPIA!D3="","",FACTURA_LIMPIA!D3)</f>
        <v/>
      </c>
      <c r="L3" s="14"/>
    </row>
    <row r="4" spans="1:14">
      <c r="A4" s="14" t="s">
        <v>172</v>
      </c>
      <c r="B4" s="14">
        <v>1</v>
      </c>
      <c r="C4" s="14" t="str">
        <f>IF(DATOS_LOTE!$B$4="","",DATOS_LOTE!$B$4)</f>
        <v/>
      </c>
      <c r="D4" s="15" t="str">
        <f>IF(DATOS_LOTE!$B$5="","",DATOS_LOTE!$B$5)</f>
        <v/>
      </c>
      <c r="E4" s="14" t="s">
        <v>173</v>
      </c>
      <c r="F4" s="14">
        <v>4</v>
      </c>
      <c r="G4" s="14" t="s">
        <v>65</v>
      </c>
      <c r="H4" s="14" t="s">
        <v>177</v>
      </c>
      <c r="I4" s="14" t="str">
        <f>IF(FACTURA_LIMPIA!A4="","",FACTURA_LIMPIA!A4)</f>
        <v/>
      </c>
      <c r="J4" s="14" t="str">
        <f>IF(FACTURA_LIMPIA!B4="","",FACTURA_LIMPIA!B4)</f>
        <v/>
      </c>
      <c r="K4" s="16" t="str">
        <f>IF(FACTURA_LIMPIA!D4="","",FACTURA_LIMPIA!D4)</f>
        <v/>
      </c>
      <c r="L4" s="14"/>
    </row>
    <row r="5" spans="1:14">
      <c r="A5" s="14" t="s">
        <v>172</v>
      </c>
      <c r="B5" s="14">
        <v>1</v>
      </c>
      <c r="C5" s="14" t="str">
        <f>IF(DATOS_LOTE!$B$4="","",DATOS_LOTE!$B$4)</f>
        <v/>
      </c>
      <c r="D5" s="15" t="str">
        <f>IF(DATOS_LOTE!$B$5="","",DATOS_LOTE!$B$5)</f>
        <v/>
      </c>
      <c r="E5" s="14" t="s">
        <v>173</v>
      </c>
      <c r="F5" s="14">
        <v>5</v>
      </c>
      <c r="G5" s="14" t="s">
        <v>67</v>
      </c>
      <c r="H5" s="14" t="s">
        <v>178</v>
      </c>
      <c r="I5" s="14" t="str">
        <f>IF(FACTURA_LIMPIA!A5="","",FACTURA_LIMPIA!A5)</f>
        <v/>
      </c>
      <c r="J5" s="14" t="str">
        <f>IF(FACTURA_LIMPIA!B5="","",FACTURA_LIMPIA!B5)</f>
        <v/>
      </c>
      <c r="K5" s="16" t="str">
        <f>IF(FACTURA_LIMPIA!D5="","",FACTURA_LIMPIA!D5)</f>
        <v/>
      </c>
      <c r="L5" s="14"/>
    </row>
    <row r="6" spans="1:14">
      <c r="A6" s="14" t="s">
        <v>172</v>
      </c>
      <c r="B6" s="14">
        <v>1</v>
      </c>
      <c r="C6" s="14" t="str">
        <f>IF(DATOS_LOTE!$B$4="","",DATOS_LOTE!$B$4)</f>
        <v/>
      </c>
      <c r="D6" s="15" t="str">
        <f>IF(DATOS_LOTE!$B$5="","",DATOS_LOTE!$B$5)</f>
        <v/>
      </c>
      <c r="E6" s="14" t="s">
        <v>173</v>
      </c>
      <c r="F6" s="14">
        <v>6</v>
      </c>
      <c r="G6" s="14" t="s">
        <v>69</v>
      </c>
      <c r="H6" s="14" t="s">
        <v>179</v>
      </c>
      <c r="I6" s="14" t="str">
        <f>IF(FACTURA_LIMPIA!A6="","",FACTURA_LIMPIA!A6)</f>
        <v/>
      </c>
      <c r="J6" s="14" t="str">
        <f>IF(FACTURA_LIMPIA!B6="","",FACTURA_LIMPIA!B6)</f>
        <v/>
      </c>
      <c r="K6" s="16" t="str">
        <f>IF(FACTURA_LIMPIA!D6="","",FACTURA_LIMPIA!D6)</f>
        <v/>
      </c>
      <c r="L6" s="14"/>
    </row>
    <row r="7" spans="1:14">
      <c r="A7" s="14" t="s">
        <v>172</v>
      </c>
      <c r="B7" s="14">
        <v>1</v>
      </c>
      <c r="C7" s="14" t="str">
        <f>IF(DATOS_LOTE!$B$4="","",DATOS_LOTE!$B$4)</f>
        <v/>
      </c>
      <c r="D7" s="15" t="str">
        <f>IF(DATOS_LOTE!$B$5="","",DATOS_LOTE!$B$5)</f>
        <v/>
      </c>
      <c r="E7" s="14" t="s">
        <v>173</v>
      </c>
      <c r="F7" s="14">
        <v>7</v>
      </c>
      <c r="G7" s="14" t="s">
        <v>71</v>
      </c>
      <c r="H7" s="14" t="s">
        <v>180</v>
      </c>
      <c r="I7" s="14" t="str">
        <f>IF(FACTURA_LIMPIA!A7="","",FACTURA_LIMPIA!A7)</f>
        <v/>
      </c>
      <c r="J7" s="14" t="str">
        <f>IF(FACTURA_LIMPIA!B7="","",FACTURA_LIMPIA!B7)</f>
        <v/>
      </c>
      <c r="K7" s="16" t="str">
        <f>IF(FACTURA_LIMPIA!D7="","",FACTURA_LIMPIA!D7)</f>
        <v/>
      </c>
      <c r="L7" s="14"/>
    </row>
    <row r="8" spans="1:14">
      <c r="A8" s="14" t="s">
        <v>172</v>
      </c>
      <c r="B8" s="14">
        <v>1</v>
      </c>
      <c r="C8" s="14" t="str">
        <f>IF(DATOS_LOTE!$B$4="","",DATOS_LOTE!$B$4)</f>
        <v/>
      </c>
      <c r="D8" s="15" t="str">
        <f>IF(DATOS_LOTE!$B$5="","",DATOS_LOTE!$B$5)</f>
        <v/>
      </c>
      <c r="E8" s="14" t="s">
        <v>173</v>
      </c>
      <c r="F8" s="14">
        <v>8</v>
      </c>
      <c r="G8" s="14" t="s">
        <v>73</v>
      </c>
      <c r="H8" s="14" t="s">
        <v>181</v>
      </c>
      <c r="I8" s="14" t="str">
        <f>IF(FACTURA_LIMPIA!A8="","",FACTURA_LIMPIA!A8)</f>
        <v/>
      </c>
      <c r="J8" s="14" t="str">
        <f>IF(FACTURA_LIMPIA!B8="","",FACTURA_LIMPIA!B8)</f>
        <v/>
      </c>
      <c r="K8" s="16" t="str">
        <f>IF(FACTURA_LIMPIA!D8="","",FACTURA_LIMPIA!D8)</f>
        <v/>
      </c>
      <c r="L8" s="14"/>
    </row>
    <row r="9" spans="1:14">
      <c r="A9" s="14" t="s">
        <v>172</v>
      </c>
      <c r="B9" s="14">
        <v>1</v>
      </c>
      <c r="C9" s="14" t="str">
        <f>IF(DATOS_LOTE!$B$4="","",DATOS_LOTE!$B$4)</f>
        <v/>
      </c>
      <c r="D9" s="15" t="str">
        <f>IF(DATOS_LOTE!$B$5="","",DATOS_LOTE!$B$5)</f>
        <v/>
      </c>
      <c r="E9" s="14" t="s">
        <v>173</v>
      </c>
      <c r="F9" s="14">
        <v>9</v>
      </c>
      <c r="G9" s="14" t="s">
        <v>75</v>
      </c>
      <c r="H9" s="14" t="s">
        <v>182</v>
      </c>
      <c r="I9" s="14" t="str">
        <f>IF(FACTURA_LIMPIA!A9="","",FACTURA_LIMPIA!A9)</f>
        <v/>
      </c>
      <c r="J9" s="14" t="str">
        <f>IF(FACTURA_LIMPIA!B9="","",FACTURA_LIMPIA!B9)</f>
        <v/>
      </c>
      <c r="K9" s="16" t="str">
        <f>IF(FACTURA_LIMPIA!D9="","",FACTURA_LIMPIA!D9)</f>
        <v/>
      </c>
      <c r="L9" s="14"/>
    </row>
    <row r="10" spans="1:14">
      <c r="A10" s="14" t="s">
        <v>172</v>
      </c>
      <c r="B10" s="14">
        <v>1</v>
      </c>
      <c r="C10" s="14" t="str">
        <f>IF(DATOS_LOTE!$B$4="","",DATOS_LOTE!$B$4)</f>
        <v/>
      </c>
      <c r="D10" s="15" t="str">
        <f>IF(DATOS_LOTE!$B$5="","",DATOS_LOTE!$B$5)</f>
        <v/>
      </c>
      <c r="E10" s="14" t="s">
        <v>173</v>
      </c>
      <c r="F10" s="14">
        <v>10</v>
      </c>
      <c r="G10" s="14" t="s">
        <v>77</v>
      </c>
      <c r="H10" s="14" t="s">
        <v>183</v>
      </c>
      <c r="I10" s="14" t="str">
        <f>IF(FACTURA_LIMPIA!A10="","",FACTURA_LIMPIA!A10)</f>
        <v/>
      </c>
      <c r="J10" s="14" t="str">
        <f>IF(FACTURA_LIMPIA!B10="","",FACTURA_LIMPIA!B10)</f>
        <v/>
      </c>
      <c r="K10" s="16" t="str">
        <f>IF(FACTURA_LIMPIA!D10="","",FACTURA_LIMPIA!D10)</f>
        <v/>
      </c>
      <c r="L10" s="14"/>
    </row>
    <row r="11" spans="1:14">
      <c r="A11" s="14" t="s">
        <v>172</v>
      </c>
      <c r="B11" s="14">
        <v>1</v>
      </c>
      <c r="C11" s="14" t="str">
        <f>IF(DATOS_LOTE!$B$4="","",DATOS_LOTE!$B$4)</f>
        <v/>
      </c>
      <c r="D11" s="15" t="str">
        <f>IF(DATOS_LOTE!$B$5="","",DATOS_LOTE!$B$5)</f>
        <v/>
      </c>
      <c r="E11" s="14" t="s">
        <v>173</v>
      </c>
      <c r="F11" s="14">
        <v>11</v>
      </c>
      <c r="G11" s="14" t="s">
        <v>79</v>
      </c>
      <c r="H11" s="14" t="s">
        <v>184</v>
      </c>
      <c r="I11" s="14" t="str">
        <f>IF(FACTURA_LIMPIA!A11="","",FACTURA_LIMPIA!A11)</f>
        <v/>
      </c>
      <c r="J11" s="14" t="str">
        <f>IF(FACTURA_LIMPIA!B11="","",FACTURA_LIMPIA!B11)</f>
        <v/>
      </c>
      <c r="K11" s="16" t="str">
        <f>IF(FACTURA_LIMPIA!D11="","",FACTURA_LIMPIA!D11)</f>
        <v/>
      </c>
      <c r="L11" s="14"/>
    </row>
    <row r="12" spans="1:14">
      <c r="A12" s="14" t="s">
        <v>172</v>
      </c>
      <c r="B12" s="14">
        <v>1</v>
      </c>
      <c r="C12" s="14" t="str">
        <f>IF(DATOS_LOTE!$B$4="","",DATOS_LOTE!$B$4)</f>
        <v/>
      </c>
      <c r="D12" s="15" t="str">
        <f>IF(DATOS_LOTE!$B$5="","",DATOS_LOTE!$B$5)</f>
        <v/>
      </c>
      <c r="E12" s="14" t="s">
        <v>173</v>
      </c>
      <c r="F12" s="14">
        <v>12</v>
      </c>
      <c r="G12" s="14" t="s">
        <v>81</v>
      </c>
      <c r="H12" s="14" t="s">
        <v>185</v>
      </c>
      <c r="I12" s="14" t="str">
        <f>IF(FACTURA_LIMPIA!A12="","",FACTURA_LIMPIA!A12)</f>
        <v/>
      </c>
      <c r="J12" s="14" t="str">
        <f>IF(FACTURA_LIMPIA!B12="","",FACTURA_LIMPIA!B12)</f>
        <v/>
      </c>
      <c r="K12" s="16" t="str">
        <f>IF(FACTURA_LIMPIA!D12="","",FACTURA_LIMPIA!D12)</f>
        <v/>
      </c>
      <c r="L12" s="14"/>
    </row>
    <row r="13" spans="1:14">
      <c r="A13" s="14" t="s">
        <v>172</v>
      </c>
      <c r="B13" s="14">
        <v>1</v>
      </c>
      <c r="C13" s="14" t="str">
        <f>IF(DATOS_LOTE!$B$4="","",DATOS_LOTE!$B$4)</f>
        <v/>
      </c>
      <c r="D13" s="15" t="str">
        <f>IF(DATOS_LOTE!$B$5="","",DATOS_LOTE!$B$5)</f>
        <v/>
      </c>
      <c r="E13" s="14" t="s">
        <v>173</v>
      </c>
      <c r="F13" s="14">
        <v>13</v>
      </c>
      <c r="G13" s="14" t="s">
        <v>83</v>
      </c>
      <c r="H13" s="14" t="s">
        <v>186</v>
      </c>
      <c r="I13" s="14" t="str">
        <f>IF(FACTURA_LIMPIA!A13="","",FACTURA_LIMPIA!A13)</f>
        <v/>
      </c>
      <c r="J13" s="14" t="str">
        <f>IF(FACTURA_LIMPIA!B13="","",FACTURA_LIMPIA!B13)</f>
        <v/>
      </c>
      <c r="K13" s="16" t="str">
        <f>IF(FACTURA_LIMPIA!D13="","",FACTURA_LIMPIA!D13)</f>
        <v/>
      </c>
      <c r="L13" s="14"/>
    </row>
    <row r="14" spans="1:14">
      <c r="A14" s="14" t="s">
        <v>172</v>
      </c>
      <c r="B14" s="14">
        <v>1</v>
      </c>
      <c r="C14" s="14" t="str">
        <f>IF(DATOS_LOTE!$B$4="","",DATOS_LOTE!$B$4)</f>
        <v/>
      </c>
      <c r="D14" s="15" t="str">
        <f>IF(DATOS_LOTE!$B$5="","",DATOS_LOTE!$B$5)</f>
        <v/>
      </c>
      <c r="E14" s="14" t="s">
        <v>173</v>
      </c>
      <c r="F14" s="14">
        <v>14</v>
      </c>
      <c r="G14" s="14" t="s">
        <v>85</v>
      </c>
      <c r="H14" s="14" t="s">
        <v>187</v>
      </c>
      <c r="I14" s="14" t="str">
        <f>IF(FACTURA_LIMPIA!A14="","",FACTURA_LIMPIA!A14)</f>
        <v/>
      </c>
      <c r="J14" s="14" t="str">
        <f>IF(FACTURA_LIMPIA!B14="","",FACTURA_LIMPIA!B14)</f>
        <v/>
      </c>
      <c r="K14" s="16" t="str">
        <f>IF(FACTURA_LIMPIA!D14="","",FACTURA_LIMPIA!D14)</f>
        <v/>
      </c>
      <c r="L14" s="14"/>
    </row>
    <row r="15" spans="1:14">
      <c r="A15" s="14" t="s">
        <v>172</v>
      </c>
      <c r="B15" s="14">
        <v>1</v>
      </c>
      <c r="C15" s="14" t="str">
        <f>IF(DATOS_LOTE!$B$4="","",DATOS_LOTE!$B$4)</f>
        <v/>
      </c>
      <c r="D15" s="15" t="str">
        <f>IF(DATOS_LOTE!$B$5="","",DATOS_LOTE!$B$5)</f>
        <v/>
      </c>
      <c r="E15" s="14" t="s">
        <v>173</v>
      </c>
      <c r="F15" s="14">
        <v>15</v>
      </c>
      <c r="G15" s="14" t="s">
        <v>87</v>
      </c>
      <c r="H15" s="14" t="s">
        <v>188</v>
      </c>
      <c r="I15" s="14" t="str">
        <f>IF(FACTURA_LIMPIA!A15="","",FACTURA_LIMPIA!A15)</f>
        <v/>
      </c>
      <c r="J15" s="14" t="str">
        <f>IF(FACTURA_LIMPIA!B15="","",FACTURA_LIMPIA!B15)</f>
        <v/>
      </c>
      <c r="K15" s="16" t="str">
        <f>IF(FACTURA_LIMPIA!D15="","",FACTURA_LIMPIA!D15)</f>
        <v/>
      </c>
      <c r="L15" s="14"/>
    </row>
    <row r="16" spans="1:14">
      <c r="A16" s="14" t="s">
        <v>172</v>
      </c>
      <c r="B16" s="14">
        <v>1</v>
      </c>
      <c r="C16" s="14" t="str">
        <f>IF(DATOS_LOTE!$B$4="","",DATOS_LOTE!$B$4)</f>
        <v/>
      </c>
      <c r="D16" s="15" t="str">
        <f>IF(DATOS_LOTE!$B$5="","",DATOS_LOTE!$B$5)</f>
        <v/>
      </c>
      <c r="E16" s="14" t="s">
        <v>173</v>
      </c>
      <c r="F16" s="14">
        <v>16</v>
      </c>
      <c r="G16" s="14" t="s">
        <v>89</v>
      </c>
      <c r="H16" s="14" t="s">
        <v>189</v>
      </c>
      <c r="I16" s="14" t="str">
        <f>IF(FACTURA_LIMPIA!A16="","",FACTURA_LIMPIA!A16)</f>
        <v/>
      </c>
      <c r="J16" s="14" t="str">
        <f>IF(FACTURA_LIMPIA!B16="","",FACTURA_LIMPIA!B16)</f>
        <v/>
      </c>
      <c r="K16" s="16" t="str">
        <f>IF(FACTURA_LIMPIA!D16="","",FACTURA_LIMPIA!D16)</f>
        <v/>
      </c>
      <c r="L16" s="14"/>
    </row>
    <row r="17" spans="1:12">
      <c r="A17" s="14" t="s">
        <v>172</v>
      </c>
      <c r="B17" s="14">
        <v>1</v>
      </c>
      <c r="C17" s="14" t="str">
        <f>IF(DATOS_LOTE!$B$4="","",DATOS_LOTE!$B$4)</f>
        <v/>
      </c>
      <c r="D17" s="15" t="str">
        <f>IF(DATOS_LOTE!$B$5="","",DATOS_LOTE!$B$5)</f>
        <v/>
      </c>
      <c r="E17" s="14" t="s">
        <v>173</v>
      </c>
      <c r="F17" s="14">
        <v>17</v>
      </c>
      <c r="G17" s="14" t="s">
        <v>91</v>
      </c>
      <c r="H17" s="14" t="s">
        <v>190</v>
      </c>
      <c r="I17" s="14" t="str">
        <f>IF(FACTURA_LIMPIA!A17="","",FACTURA_LIMPIA!A17)</f>
        <v/>
      </c>
      <c r="J17" s="14" t="str">
        <f>IF(FACTURA_LIMPIA!B17="","",FACTURA_LIMPIA!B17)</f>
        <v/>
      </c>
      <c r="K17" s="16" t="str">
        <f>IF(FACTURA_LIMPIA!D17="","",FACTURA_LIMPIA!D17)</f>
        <v/>
      </c>
      <c r="L17" s="14"/>
    </row>
    <row r="18" spans="1:12">
      <c r="A18" s="14" t="s">
        <v>172</v>
      </c>
      <c r="B18" s="14">
        <v>1</v>
      </c>
      <c r="C18" s="14" t="str">
        <f>IF(DATOS_LOTE!$B$4="","",DATOS_LOTE!$B$4)</f>
        <v/>
      </c>
      <c r="D18" s="15" t="str">
        <f>IF(DATOS_LOTE!$B$5="","",DATOS_LOTE!$B$5)</f>
        <v/>
      </c>
      <c r="E18" s="14" t="s">
        <v>173</v>
      </c>
      <c r="F18" s="14">
        <v>18</v>
      </c>
      <c r="G18" s="14" t="s">
        <v>93</v>
      </c>
      <c r="H18" s="14" t="s">
        <v>191</v>
      </c>
      <c r="I18" s="14" t="str">
        <f>IF(FACTURA_LIMPIA!A18="","",FACTURA_LIMPIA!A18)</f>
        <v/>
      </c>
      <c r="J18" s="14" t="str">
        <f>IF(FACTURA_LIMPIA!B18="","",FACTURA_LIMPIA!B18)</f>
        <v/>
      </c>
      <c r="K18" s="16" t="str">
        <f>IF(FACTURA_LIMPIA!D18="","",FACTURA_LIMPIA!D18)</f>
        <v/>
      </c>
      <c r="L18" s="14"/>
    </row>
    <row r="19" spans="1:12">
      <c r="A19" s="14" t="s">
        <v>172</v>
      </c>
      <c r="B19" s="14">
        <v>1</v>
      </c>
      <c r="C19" s="14" t="str">
        <f>IF(DATOS_LOTE!$B$4="","",DATOS_LOTE!$B$4)</f>
        <v/>
      </c>
      <c r="D19" s="15" t="str">
        <f>IF(DATOS_LOTE!$B$5="","",DATOS_LOTE!$B$5)</f>
        <v/>
      </c>
      <c r="E19" s="14" t="s">
        <v>173</v>
      </c>
      <c r="F19" s="14">
        <v>19</v>
      </c>
      <c r="G19" s="14" t="s">
        <v>95</v>
      </c>
      <c r="H19" s="14" t="s">
        <v>192</v>
      </c>
      <c r="I19" s="14" t="str">
        <f>IF(FACTURA_LIMPIA!A19="","",FACTURA_LIMPIA!A19)</f>
        <v/>
      </c>
      <c r="J19" s="14" t="str">
        <f>IF(FACTURA_LIMPIA!B19="","",FACTURA_LIMPIA!B19)</f>
        <v/>
      </c>
      <c r="K19" s="16" t="str">
        <f>IF(FACTURA_LIMPIA!D19="","",FACTURA_LIMPIA!D19)</f>
        <v/>
      </c>
      <c r="L19" s="14"/>
    </row>
    <row r="20" spans="1:12">
      <c r="A20" s="14" t="s">
        <v>172</v>
      </c>
      <c r="B20" s="14">
        <v>1</v>
      </c>
      <c r="C20" s="14" t="str">
        <f>IF(DATOS_LOTE!$B$4="","",DATOS_LOTE!$B$4)</f>
        <v/>
      </c>
      <c r="D20" s="15" t="str">
        <f>IF(DATOS_LOTE!$B$5="","",DATOS_LOTE!$B$5)</f>
        <v/>
      </c>
      <c r="E20" s="14" t="s">
        <v>173</v>
      </c>
      <c r="F20" s="14">
        <v>20</v>
      </c>
      <c r="G20" s="14" t="s">
        <v>97</v>
      </c>
      <c r="H20" s="14" t="s">
        <v>193</v>
      </c>
      <c r="I20" s="14" t="str">
        <f>IF(FACTURA_LIMPIA!A20="","",FACTURA_LIMPIA!A20)</f>
        <v/>
      </c>
      <c r="J20" s="14" t="str">
        <f>IF(FACTURA_LIMPIA!B20="","",FACTURA_LIMPIA!B20)</f>
        <v/>
      </c>
      <c r="K20" s="16" t="str">
        <f>IF(FACTURA_LIMPIA!D20="","",FACTURA_LIMPIA!D20)</f>
        <v/>
      </c>
      <c r="L20" s="14"/>
    </row>
    <row r="21" spans="1:12">
      <c r="A21" s="14" t="s">
        <v>172</v>
      </c>
      <c r="B21" s="14">
        <v>1</v>
      </c>
      <c r="C21" s="14" t="str">
        <f>IF(DATOS_LOTE!$B$4="","",DATOS_LOTE!$B$4)</f>
        <v/>
      </c>
      <c r="D21" s="15" t="str">
        <f>IF(DATOS_LOTE!$B$5="","",DATOS_LOTE!$B$5)</f>
        <v/>
      </c>
      <c r="E21" s="14" t="s">
        <v>173</v>
      </c>
      <c r="F21" s="14">
        <v>21</v>
      </c>
      <c r="G21" s="14" t="s">
        <v>99</v>
      </c>
      <c r="H21" s="14" t="s">
        <v>194</v>
      </c>
      <c r="I21" s="14" t="str">
        <f>IF(FACTURA_LIMPIA!A21="","",FACTURA_LIMPIA!A21)</f>
        <v/>
      </c>
      <c r="J21" s="14" t="str">
        <f>IF(FACTURA_LIMPIA!B21="","",FACTURA_LIMPIA!B21)</f>
        <v/>
      </c>
      <c r="K21" s="16" t="str">
        <f>IF(FACTURA_LIMPIA!D21="","",FACTURA_LIMPIA!D21)</f>
        <v/>
      </c>
      <c r="L21" s="14"/>
    </row>
    <row r="22" spans="1:12">
      <c r="A22" s="14" t="s">
        <v>172</v>
      </c>
      <c r="B22" s="14">
        <v>1</v>
      </c>
      <c r="C22" s="14" t="str">
        <f>IF(DATOS_LOTE!$B$4="","",DATOS_LOTE!$B$4)</f>
        <v/>
      </c>
      <c r="D22" s="15" t="str">
        <f>IF(DATOS_LOTE!$B$5="","",DATOS_LOTE!$B$5)</f>
        <v/>
      </c>
      <c r="E22" s="14" t="s">
        <v>173</v>
      </c>
      <c r="F22" s="14">
        <v>22</v>
      </c>
      <c r="G22" s="14" t="s">
        <v>101</v>
      </c>
      <c r="H22" s="14" t="s">
        <v>195</v>
      </c>
      <c r="I22" s="14" t="str">
        <f>IF(FACTURA_LIMPIA!A22="","",FACTURA_LIMPIA!A22)</f>
        <v/>
      </c>
      <c r="J22" s="14" t="str">
        <f>IF(FACTURA_LIMPIA!B22="","",FACTURA_LIMPIA!B22)</f>
        <v/>
      </c>
      <c r="K22" s="16" t="str">
        <f>IF(FACTURA_LIMPIA!D22="","",FACTURA_LIMPIA!D22)</f>
        <v/>
      </c>
      <c r="L22" s="14"/>
    </row>
    <row r="23" spans="1:12">
      <c r="A23" s="14" t="s">
        <v>172</v>
      </c>
      <c r="B23" s="14">
        <v>1</v>
      </c>
      <c r="C23" s="14" t="str">
        <f>IF(DATOS_LOTE!$B$4="","",DATOS_LOTE!$B$4)</f>
        <v/>
      </c>
      <c r="D23" s="15" t="str">
        <f>IF(DATOS_LOTE!$B$5="","",DATOS_LOTE!$B$5)</f>
        <v/>
      </c>
      <c r="E23" s="14" t="s">
        <v>173</v>
      </c>
      <c r="F23" s="14">
        <v>23</v>
      </c>
      <c r="G23" s="14" t="s">
        <v>103</v>
      </c>
      <c r="H23" s="14" t="s">
        <v>196</v>
      </c>
      <c r="I23" s="14" t="str">
        <f>IF(FACTURA_LIMPIA!A23="","",FACTURA_LIMPIA!A23)</f>
        <v/>
      </c>
      <c r="J23" s="14" t="str">
        <f>IF(FACTURA_LIMPIA!B23="","",FACTURA_LIMPIA!B23)</f>
        <v/>
      </c>
      <c r="K23" s="16" t="str">
        <f>IF(FACTURA_LIMPIA!D23="","",FACTURA_LIMPIA!D23)</f>
        <v/>
      </c>
      <c r="L23" s="14"/>
    </row>
    <row r="24" spans="1:12">
      <c r="A24" s="14" t="s">
        <v>172</v>
      </c>
      <c r="B24" s="14">
        <v>1</v>
      </c>
      <c r="C24" s="14" t="str">
        <f>IF(DATOS_LOTE!$B$4="","",DATOS_LOTE!$B$4)</f>
        <v/>
      </c>
      <c r="D24" s="15" t="str">
        <f>IF(DATOS_LOTE!$B$5="","",DATOS_LOTE!$B$5)</f>
        <v/>
      </c>
      <c r="E24" s="14" t="s">
        <v>173</v>
      </c>
      <c r="F24" s="14">
        <v>24</v>
      </c>
      <c r="G24" s="14" t="s">
        <v>105</v>
      </c>
      <c r="H24" s="14" t="s">
        <v>197</v>
      </c>
      <c r="I24" s="14" t="str">
        <f>IF(FACTURA_LIMPIA!A24="","",FACTURA_LIMPIA!A24)</f>
        <v/>
      </c>
      <c r="J24" s="14" t="str">
        <f>IF(FACTURA_LIMPIA!B24="","",FACTURA_LIMPIA!B24)</f>
        <v/>
      </c>
      <c r="K24" s="16" t="str">
        <f>IF(FACTURA_LIMPIA!D24="","",FACTURA_LIMPIA!D24)</f>
        <v/>
      </c>
      <c r="L24" s="14"/>
    </row>
    <row r="25" spans="1:12">
      <c r="A25" s="14" t="s">
        <v>172</v>
      </c>
      <c r="B25" s="14">
        <v>1</v>
      </c>
      <c r="C25" s="14" t="str">
        <f>IF(DATOS_LOTE!$B$4="","",DATOS_LOTE!$B$4)</f>
        <v/>
      </c>
      <c r="D25" s="15" t="str">
        <f>IF(DATOS_LOTE!$B$5="","",DATOS_LOTE!$B$5)</f>
        <v/>
      </c>
      <c r="E25" s="14" t="s">
        <v>173</v>
      </c>
      <c r="F25" s="14">
        <v>25</v>
      </c>
      <c r="G25" s="14" t="s">
        <v>107</v>
      </c>
      <c r="H25" s="14" t="s">
        <v>198</v>
      </c>
      <c r="I25" s="14" t="str">
        <f>IF(FACTURA_LIMPIA!A25="","",FACTURA_LIMPIA!A25)</f>
        <v/>
      </c>
      <c r="J25" s="14" t="str">
        <f>IF(FACTURA_LIMPIA!B25="","",FACTURA_LIMPIA!B25)</f>
        <v/>
      </c>
      <c r="K25" s="16" t="str">
        <f>IF(FACTURA_LIMPIA!D25="","",FACTURA_LIMPIA!D25)</f>
        <v/>
      </c>
      <c r="L25" s="14"/>
    </row>
    <row r="26" spans="1:12">
      <c r="A26" s="14" t="s">
        <v>172</v>
      </c>
      <c r="B26" s="14">
        <v>1</v>
      </c>
      <c r="C26" s="14" t="str">
        <f>IF(DATOS_LOTE!$B$4="","",DATOS_LOTE!$B$4)</f>
        <v/>
      </c>
      <c r="D26" s="15" t="str">
        <f>IF(DATOS_LOTE!$B$5="","",DATOS_LOTE!$B$5)</f>
        <v/>
      </c>
      <c r="E26" s="14" t="s">
        <v>173</v>
      </c>
      <c r="F26" s="14">
        <v>26</v>
      </c>
      <c r="G26" s="14" t="s">
        <v>109</v>
      </c>
      <c r="H26" s="14" t="s">
        <v>199</v>
      </c>
      <c r="I26" s="14" t="str">
        <f>IF(FACTURA_LIMPIA!A26="","",FACTURA_LIMPIA!A26)</f>
        <v/>
      </c>
      <c r="J26" s="14" t="str">
        <f>IF(FACTURA_LIMPIA!B26="","",FACTURA_LIMPIA!B26)</f>
        <v/>
      </c>
      <c r="K26" s="16" t="str">
        <f>IF(FACTURA_LIMPIA!D26="","",FACTURA_LIMPIA!D26)</f>
        <v/>
      </c>
      <c r="L26" s="14"/>
    </row>
    <row r="27" spans="1:12">
      <c r="A27" s="14" t="s">
        <v>172</v>
      </c>
      <c r="B27" s="14">
        <v>1</v>
      </c>
      <c r="C27" s="14" t="str">
        <f>IF(DATOS_LOTE!$B$4="","",DATOS_LOTE!$B$4)</f>
        <v/>
      </c>
      <c r="D27" s="15" t="str">
        <f>IF(DATOS_LOTE!$B$5="","",DATOS_LOTE!$B$5)</f>
        <v/>
      </c>
      <c r="E27" s="14" t="s">
        <v>173</v>
      </c>
      <c r="F27" s="14">
        <v>27</v>
      </c>
      <c r="G27" s="14" t="s">
        <v>111</v>
      </c>
      <c r="H27" s="14" t="s">
        <v>200</v>
      </c>
      <c r="I27" s="14" t="str">
        <f>IF(FACTURA_LIMPIA!A27="","",FACTURA_LIMPIA!A27)</f>
        <v/>
      </c>
      <c r="J27" s="14" t="str">
        <f>IF(FACTURA_LIMPIA!B27="","",FACTURA_LIMPIA!B27)</f>
        <v/>
      </c>
      <c r="K27" s="16" t="str">
        <f>IF(FACTURA_LIMPIA!D27="","",FACTURA_LIMPIA!D27)</f>
        <v/>
      </c>
      <c r="L27" s="14"/>
    </row>
    <row r="28" spans="1:12">
      <c r="A28" s="14" t="s">
        <v>172</v>
      </c>
      <c r="B28" s="14">
        <v>1</v>
      </c>
      <c r="C28" s="14" t="str">
        <f>IF(DATOS_LOTE!$B$4="","",DATOS_LOTE!$B$4)</f>
        <v/>
      </c>
      <c r="D28" s="15" t="str">
        <f>IF(DATOS_LOTE!$B$5="","",DATOS_LOTE!$B$5)</f>
        <v/>
      </c>
      <c r="E28" s="14" t="s">
        <v>173</v>
      </c>
      <c r="F28" s="14">
        <v>28</v>
      </c>
      <c r="G28" s="14" t="s">
        <v>113</v>
      </c>
      <c r="H28" s="14" t="s">
        <v>201</v>
      </c>
      <c r="I28" s="14" t="str">
        <f>IF(FACTURA_LIMPIA!A28="","",FACTURA_LIMPIA!A28)</f>
        <v/>
      </c>
      <c r="J28" s="14" t="str">
        <f>IF(FACTURA_LIMPIA!B28="","",FACTURA_LIMPIA!B28)</f>
        <v/>
      </c>
      <c r="K28" s="16" t="str">
        <f>IF(FACTURA_LIMPIA!D28="","",FACTURA_LIMPIA!D28)</f>
        <v/>
      </c>
      <c r="L28" s="14"/>
    </row>
    <row r="29" spans="1:12">
      <c r="A29" s="14" t="s">
        <v>172</v>
      </c>
      <c r="B29" s="14">
        <v>1</v>
      </c>
      <c r="C29" s="14" t="str">
        <f>IF(DATOS_LOTE!$B$4="","",DATOS_LOTE!$B$4)</f>
        <v/>
      </c>
      <c r="D29" s="15" t="str">
        <f>IF(DATOS_LOTE!$B$5="","",DATOS_LOTE!$B$5)</f>
        <v/>
      </c>
      <c r="E29" s="14" t="s">
        <v>173</v>
      </c>
      <c r="F29" s="14">
        <v>29</v>
      </c>
      <c r="G29" s="14" t="s">
        <v>115</v>
      </c>
      <c r="H29" s="14" t="s">
        <v>202</v>
      </c>
      <c r="I29" s="14" t="str">
        <f>IF(FACTURA_LIMPIA!A29="","",FACTURA_LIMPIA!A29)</f>
        <v/>
      </c>
      <c r="J29" s="14" t="str">
        <f>IF(FACTURA_LIMPIA!B29="","",FACTURA_LIMPIA!B29)</f>
        <v/>
      </c>
      <c r="K29" s="16" t="str">
        <f>IF(FACTURA_LIMPIA!D29="","",FACTURA_LIMPIA!D29)</f>
        <v/>
      </c>
      <c r="L29" s="14"/>
    </row>
    <row r="30" spans="1:12">
      <c r="A30" s="14" t="s">
        <v>172</v>
      </c>
      <c r="B30" s="14">
        <v>1</v>
      </c>
      <c r="C30" s="14" t="str">
        <f>IF(DATOS_LOTE!$B$4="","",DATOS_LOTE!$B$4)</f>
        <v/>
      </c>
      <c r="D30" s="15" t="str">
        <f>IF(DATOS_LOTE!$B$5="","",DATOS_LOTE!$B$5)</f>
        <v/>
      </c>
      <c r="E30" s="14" t="s">
        <v>173</v>
      </c>
      <c r="F30" s="14">
        <v>30</v>
      </c>
      <c r="G30" s="14" t="s">
        <v>117</v>
      </c>
      <c r="H30" s="14" t="s">
        <v>203</v>
      </c>
      <c r="I30" s="14" t="str">
        <f>IF(FACTURA_LIMPIA!A30="","",FACTURA_LIMPIA!A30)</f>
        <v/>
      </c>
      <c r="J30" s="14" t="str">
        <f>IF(FACTURA_LIMPIA!B30="","",FACTURA_LIMPIA!B30)</f>
        <v/>
      </c>
      <c r="K30" s="16" t="str">
        <f>IF(FACTURA_LIMPIA!D30="","",FACTURA_LIMPIA!D30)</f>
        <v/>
      </c>
      <c r="L30" s="14"/>
    </row>
    <row r="31" spans="1:12">
      <c r="A31" s="14" t="s">
        <v>172</v>
      </c>
      <c r="B31" s="14">
        <v>1</v>
      </c>
      <c r="C31" s="14" t="str">
        <f>IF(DATOS_LOTE!$B$4="","",DATOS_LOTE!$B$4)</f>
        <v/>
      </c>
      <c r="D31" s="15" t="str">
        <f>IF(DATOS_LOTE!$B$5="","",DATOS_LOTE!$B$5)</f>
        <v/>
      </c>
      <c r="E31" s="14" t="s">
        <v>173</v>
      </c>
      <c r="F31" s="14">
        <v>31</v>
      </c>
      <c r="G31" s="14" t="s">
        <v>119</v>
      </c>
      <c r="H31" s="14" t="s">
        <v>204</v>
      </c>
      <c r="I31" s="14" t="str">
        <f>IF(FACTURA_LIMPIA!A31="","",FACTURA_LIMPIA!A31)</f>
        <v/>
      </c>
      <c r="J31" s="14" t="str">
        <f>IF(FACTURA_LIMPIA!B31="","",FACTURA_LIMPIA!B31)</f>
        <v/>
      </c>
      <c r="K31" s="16" t="str">
        <f>IF(FACTURA_LIMPIA!D31="","",FACTURA_LIMPIA!D31)</f>
        <v/>
      </c>
      <c r="L31" s="14"/>
    </row>
    <row r="32" spans="1:12">
      <c r="A32" s="14" t="s">
        <v>172</v>
      </c>
      <c r="B32" s="14">
        <v>1</v>
      </c>
      <c r="C32" s="14" t="str">
        <f>IF(DATOS_LOTE!$B$4="","",DATOS_LOTE!$B$4)</f>
        <v/>
      </c>
      <c r="D32" s="15" t="str">
        <f>IF(DATOS_LOTE!$B$5="","",DATOS_LOTE!$B$5)</f>
        <v/>
      </c>
      <c r="E32" s="14" t="s">
        <v>173</v>
      </c>
      <c r="F32" s="14">
        <v>32</v>
      </c>
      <c r="G32" s="14" t="s">
        <v>121</v>
      </c>
      <c r="H32" s="14" t="s">
        <v>205</v>
      </c>
      <c r="I32" s="14" t="str">
        <f>IF(FACTURA_LIMPIA!A32="","",FACTURA_LIMPIA!A32)</f>
        <v/>
      </c>
      <c r="J32" s="14" t="str">
        <f>IF(FACTURA_LIMPIA!B32="","",FACTURA_LIMPIA!B32)</f>
        <v/>
      </c>
      <c r="K32" s="16" t="str">
        <f>IF(FACTURA_LIMPIA!D32="","",FACTURA_LIMPIA!D32)</f>
        <v/>
      </c>
      <c r="L32" s="14"/>
    </row>
    <row r="33" spans="1:12">
      <c r="A33" s="14" t="s">
        <v>172</v>
      </c>
      <c r="B33" s="14">
        <v>1</v>
      </c>
      <c r="C33" s="14" t="str">
        <f>IF(DATOS_LOTE!$B$4="","",DATOS_LOTE!$B$4)</f>
        <v/>
      </c>
      <c r="D33" s="15" t="str">
        <f>IF(DATOS_LOTE!$B$5="","",DATOS_LOTE!$B$5)</f>
        <v/>
      </c>
      <c r="E33" s="14" t="s">
        <v>173</v>
      </c>
      <c r="F33" s="14">
        <v>33</v>
      </c>
      <c r="G33" s="14" t="s">
        <v>123</v>
      </c>
      <c r="H33" s="14" t="s">
        <v>206</v>
      </c>
      <c r="I33" s="14" t="str">
        <f>IF(FACTURA_LIMPIA!A33="","",FACTURA_LIMPIA!A33)</f>
        <v/>
      </c>
      <c r="J33" s="14" t="str">
        <f>IF(FACTURA_LIMPIA!B33="","",FACTURA_LIMPIA!B33)</f>
        <v/>
      </c>
      <c r="K33" s="16" t="str">
        <f>IF(FACTURA_LIMPIA!D33="","",FACTURA_LIMPIA!D33)</f>
        <v/>
      </c>
      <c r="L33" s="14"/>
    </row>
    <row r="34" spans="1:12">
      <c r="A34" s="14" t="s">
        <v>172</v>
      </c>
      <c r="B34" s="14">
        <v>1</v>
      </c>
      <c r="C34" s="14" t="str">
        <f>IF(DATOS_LOTE!$B$4="","",DATOS_LOTE!$B$4)</f>
        <v/>
      </c>
      <c r="D34" s="15" t="str">
        <f>IF(DATOS_LOTE!$B$5="","",DATOS_LOTE!$B$5)</f>
        <v/>
      </c>
      <c r="E34" s="14" t="s">
        <v>173</v>
      </c>
      <c r="F34" s="14">
        <v>34</v>
      </c>
      <c r="G34" s="14" t="s">
        <v>125</v>
      </c>
      <c r="H34" s="14" t="s">
        <v>207</v>
      </c>
      <c r="I34" s="14" t="str">
        <f>IF(FACTURA_LIMPIA!A34="","",FACTURA_LIMPIA!A34)</f>
        <v/>
      </c>
      <c r="J34" s="14" t="str">
        <f>IF(FACTURA_LIMPIA!B34="","",FACTURA_LIMPIA!B34)</f>
        <v/>
      </c>
      <c r="K34" s="16" t="str">
        <f>IF(FACTURA_LIMPIA!D34="","",FACTURA_LIMPIA!D34)</f>
        <v/>
      </c>
      <c r="L34" s="14"/>
    </row>
    <row r="35" spans="1:12">
      <c r="A35" s="14" t="s">
        <v>172</v>
      </c>
      <c r="B35" s="14">
        <v>1</v>
      </c>
      <c r="C35" s="14" t="str">
        <f>IF(DATOS_LOTE!$B$4="","",DATOS_LOTE!$B$4)</f>
        <v/>
      </c>
      <c r="D35" s="15" t="str">
        <f>IF(DATOS_LOTE!$B$5="","",DATOS_LOTE!$B$5)</f>
        <v/>
      </c>
      <c r="E35" s="14" t="s">
        <v>173</v>
      </c>
      <c r="F35" s="14">
        <v>35</v>
      </c>
      <c r="G35" s="14" t="s">
        <v>127</v>
      </c>
      <c r="H35" s="14" t="s">
        <v>208</v>
      </c>
      <c r="I35" s="14" t="str">
        <f>IF(FACTURA_LIMPIA!A35="","",FACTURA_LIMPIA!A35)</f>
        <v/>
      </c>
      <c r="J35" s="14" t="str">
        <f>IF(FACTURA_LIMPIA!B35="","",FACTURA_LIMPIA!B35)</f>
        <v/>
      </c>
      <c r="K35" s="16" t="str">
        <f>IF(FACTURA_LIMPIA!D35="","",FACTURA_LIMPIA!D35)</f>
        <v/>
      </c>
      <c r="L35" s="14"/>
    </row>
    <row r="36" spans="1:12">
      <c r="A36" s="14" t="s">
        <v>172</v>
      </c>
      <c r="B36" s="14">
        <v>1</v>
      </c>
      <c r="C36" s="14" t="str">
        <f>IF(DATOS_LOTE!$B$4="","",DATOS_LOTE!$B$4)</f>
        <v/>
      </c>
      <c r="D36" s="15" t="str">
        <f>IF(DATOS_LOTE!$B$5="","",DATOS_LOTE!$B$5)</f>
        <v/>
      </c>
      <c r="E36" s="14" t="s">
        <v>173</v>
      </c>
      <c r="F36" s="14">
        <v>36</v>
      </c>
      <c r="G36" s="14" t="s">
        <v>129</v>
      </c>
      <c r="H36" s="14" t="s">
        <v>209</v>
      </c>
      <c r="I36" s="14" t="str">
        <f>IF(FACTURA_LIMPIA!A36="","",FACTURA_LIMPIA!A36)</f>
        <v/>
      </c>
      <c r="J36" s="14" t="str">
        <f>IF(FACTURA_LIMPIA!B36="","",FACTURA_LIMPIA!B36)</f>
        <v/>
      </c>
      <c r="K36" s="16" t="str">
        <f>IF(FACTURA_LIMPIA!D36="","",FACTURA_LIMPIA!D36)</f>
        <v/>
      </c>
      <c r="L36" s="14"/>
    </row>
    <row r="37" spans="1:12">
      <c r="A37" s="14" t="s">
        <v>172</v>
      </c>
      <c r="B37" s="14">
        <v>1</v>
      </c>
      <c r="C37" s="14" t="str">
        <f>IF(DATOS_LOTE!$B$4="","",DATOS_LOTE!$B$4)</f>
        <v/>
      </c>
      <c r="D37" s="15" t="str">
        <f>IF(DATOS_LOTE!$B$5="","",DATOS_LOTE!$B$5)</f>
        <v/>
      </c>
      <c r="E37" s="14" t="s">
        <v>173</v>
      </c>
      <c r="F37" s="14">
        <v>37</v>
      </c>
      <c r="G37" s="14" t="s">
        <v>131</v>
      </c>
      <c r="H37" s="14" t="s">
        <v>210</v>
      </c>
      <c r="I37" s="14" t="str">
        <f>IF(FACTURA_LIMPIA!A37="","",FACTURA_LIMPIA!A37)</f>
        <v/>
      </c>
      <c r="J37" s="14" t="str">
        <f>IF(FACTURA_LIMPIA!B37="","",FACTURA_LIMPIA!B37)</f>
        <v/>
      </c>
      <c r="K37" s="16" t="str">
        <f>IF(FACTURA_LIMPIA!D37="","",FACTURA_LIMPIA!D37)</f>
        <v/>
      </c>
      <c r="L37" s="14"/>
    </row>
    <row r="38" spans="1:12">
      <c r="A38" s="14" t="s">
        <v>172</v>
      </c>
      <c r="B38" s="14">
        <v>1</v>
      </c>
      <c r="C38" s="14" t="str">
        <f>IF(DATOS_LOTE!$B$4="","",DATOS_LOTE!$B$4)</f>
        <v/>
      </c>
      <c r="D38" s="15" t="str">
        <f>IF(DATOS_LOTE!$B$5="","",DATOS_LOTE!$B$5)</f>
        <v/>
      </c>
      <c r="E38" s="14" t="s">
        <v>173</v>
      </c>
      <c r="F38" s="14">
        <v>38</v>
      </c>
      <c r="G38" s="14" t="s">
        <v>133</v>
      </c>
      <c r="H38" s="14" t="s">
        <v>211</v>
      </c>
      <c r="I38" s="14" t="str">
        <f>IF(FACTURA_LIMPIA!A38="","",FACTURA_LIMPIA!A38)</f>
        <v/>
      </c>
      <c r="J38" s="14" t="str">
        <f>IF(FACTURA_LIMPIA!B38="","",FACTURA_LIMPIA!B38)</f>
        <v/>
      </c>
      <c r="K38" s="16" t="str">
        <f>IF(FACTURA_LIMPIA!D38="","",FACTURA_LIMPIA!D38)</f>
        <v/>
      </c>
      <c r="L38" s="14"/>
    </row>
    <row r="39" spans="1:12">
      <c r="A39" s="14" t="s">
        <v>172</v>
      </c>
      <c r="B39" s="14">
        <v>1</v>
      </c>
      <c r="C39" s="14" t="str">
        <f>IF(DATOS_LOTE!$B$4="","",DATOS_LOTE!$B$4)</f>
        <v/>
      </c>
      <c r="D39" s="15" t="str">
        <f>IF(DATOS_LOTE!$B$5="","",DATOS_LOTE!$B$5)</f>
        <v/>
      </c>
      <c r="E39" s="14" t="s">
        <v>173</v>
      </c>
      <c r="F39" s="14">
        <v>39</v>
      </c>
      <c r="G39" s="14" t="s">
        <v>135</v>
      </c>
      <c r="H39" s="14" t="s">
        <v>212</v>
      </c>
      <c r="I39" s="14" t="str">
        <f>IF(FACTURA_LIMPIA!A39="","",FACTURA_LIMPIA!A39)</f>
        <v/>
      </c>
      <c r="J39" s="14" t="str">
        <f>IF(FACTURA_LIMPIA!B39="","",FACTURA_LIMPIA!B39)</f>
        <v/>
      </c>
      <c r="K39" s="16" t="str">
        <f>IF(FACTURA_LIMPIA!D39="","",FACTURA_LIMPIA!D39)</f>
        <v/>
      </c>
      <c r="L39" s="14"/>
    </row>
    <row r="40" spans="1:12">
      <c r="A40" s="14" t="s">
        <v>172</v>
      </c>
      <c r="B40" s="14">
        <v>1</v>
      </c>
      <c r="C40" s="14" t="str">
        <f>IF(DATOS_LOTE!$B$4="","",DATOS_LOTE!$B$4)</f>
        <v/>
      </c>
      <c r="D40" s="15" t="str">
        <f>IF(DATOS_LOTE!$B$5="","",DATOS_LOTE!$B$5)</f>
        <v/>
      </c>
      <c r="E40" s="14" t="s">
        <v>173</v>
      </c>
      <c r="F40" s="14">
        <v>40</v>
      </c>
      <c r="G40" s="14" t="s">
        <v>137</v>
      </c>
      <c r="H40" s="14" t="s">
        <v>213</v>
      </c>
      <c r="I40" s="14" t="str">
        <f>IF(FACTURA_LIMPIA!A40="","",FACTURA_LIMPIA!A40)</f>
        <v/>
      </c>
      <c r="J40" s="14" t="str">
        <f>IF(FACTURA_LIMPIA!B40="","",FACTURA_LIMPIA!B40)</f>
        <v/>
      </c>
      <c r="K40" s="16" t="str">
        <f>IF(FACTURA_LIMPIA!D40="","",FACTURA_LIMPIA!D40)</f>
        <v/>
      </c>
      <c r="L40" s="14"/>
    </row>
    <row r="41" spans="1:12">
      <c r="A41" s="14" t="s">
        <v>172</v>
      </c>
      <c r="B41" s="14">
        <v>1</v>
      </c>
      <c r="C41" s="14" t="str">
        <f>IF(DATOS_LOTE!$B$4="","",DATOS_LOTE!$B$4)</f>
        <v/>
      </c>
      <c r="D41" s="15" t="str">
        <f>IF(DATOS_LOTE!$B$5="","",DATOS_LOTE!$B$5)</f>
        <v/>
      </c>
      <c r="E41" s="14" t="s">
        <v>173</v>
      </c>
      <c r="F41" s="14">
        <v>41</v>
      </c>
      <c r="G41" s="14" t="s">
        <v>139</v>
      </c>
      <c r="H41" s="14" t="s">
        <v>214</v>
      </c>
      <c r="I41" s="14" t="str">
        <f>IF(FACTURA_LIMPIA!A41="","",FACTURA_LIMPIA!A41)</f>
        <v/>
      </c>
      <c r="J41" s="14" t="str">
        <f>IF(FACTURA_LIMPIA!B41="","",FACTURA_LIMPIA!B41)</f>
        <v/>
      </c>
      <c r="K41" s="16" t="str">
        <f>IF(FACTURA_LIMPIA!D41="","",FACTURA_LIMPIA!D41)</f>
        <v/>
      </c>
      <c r="L41" s="14"/>
    </row>
    <row r="42" spans="1:12">
      <c r="A42" s="14" t="s">
        <v>172</v>
      </c>
      <c r="B42" s="14">
        <v>1</v>
      </c>
      <c r="C42" s="14" t="str">
        <f>IF(DATOS_LOTE!$B$4="","",DATOS_LOTE!$B$4)</f>
        <v/>
      </c>
      <c r="D42" s="15" t="str">
        <f>IF(DATOS_LOTE!$B$5="","",DATOS_LOTE!$B$5)</f>
        <v/>
      </c>
      <c r="E42" s="14" t="s">
        <v>173</v>
      </c>
      <c r="F42" s="14">
        <v>42</v>
      </c>
      <c r="G42" s="14" t="s">
        <v>141</v>
      </c>
      <c r="H42" s="14" t="s">
        <v>215</v>
      </c>
      <c r="I42" s="14" t="str">
        <f>IF(FACTURA_LIMPIA!A42="","",FACTURA_LIMPIA!A42)</f>
        <v/>
      </c>
      <c r="J42" s="14" t="str">
        <f>IF(FACTURA_LIMPIA!B42="","",FACTURA_LIMPIA!B42)</f>
        <v/>
      </c>
      <c r="K42" s="16" t="str">
        <f>IF(FACTURA_LIMPIA!D42="","",FACTURA_LIMPIA!D42)</f>
        <v/>
      </c>
      <c r="L42" s="14"/>
    </row>
    <row r="43" spans="1:12">
      <c r="A43" s="14" t="s">
        <v>172</v>
      </c>
      <c r="B43" s="14">
        <v>1</v>
      </c>
      <c r="C43" s="14" t="str">
        <f>IF(DATOS_LOTE!$B$4="","",DATOS_LOTE!$B$4)</f>
        <v/>
      </c>
      <c r="D43" s="15" t="str">
        <f>IF(DATOS_LOTE!$B$5="","",DATOS_LOTE!$B$5)</f>
        <v/>
      </c>
      <c r="E43" s="14" t="s">
        <v>173</v>
      </c>
      <c r="F43" s="14">
        <v>43</v>
      </c>
      <c r="G43" s="14" t="s">
        <v>143</v>
      </c>
      <c r="H43" s="14" t="s">
        <v>216</v>
      </c>
      <c r="I43" s="14" t="str">
        <f>IF(FACTURA_LIMPIA!A43="","",FACTURA_LIMPIA!A43)</f>
        <v/>
      </c>
      <c r="J43" s="14" t="str">
        <f>IF(FACTURA_LIMPIA!B43="","",FACTURA_LIMPIA!B43)</f>
        <v/>
      </c>
      <c r="K43" s="16" t="str">
        <f>IF(FACTURA_LIMPIA!D43="","",FACTURA_LIMPIA!D43)</f>
        <v/>
      </c>
      <c r="L43" s="14"/>
    </row>
    <row r="44" spans="1:12">
      <c r="A44" s="14" t="s">
        <v>172</v>
      </c>
      <c r="B44" s="14">
        <v>1</v>
      </c>
      <c r="C44" s="14" t="str">
        <f>IF(DATOS_LOTE!$B$4="","",DATOS_LOTE!$B$4)</f>
        <v/>
      </c>
      <c r="D44" s="15" t="str">
        <f>IF(DATOS_LOTE!$B$5="","",DATOS_LOTE!$B$5)</f>
        <v/>
      </c>
      <c r="E44" s="14" t="s">
        <v>173</v>
      </c>
      <c r="F44" s="14">
        <v>44</v>
      </c>
      <c r="G44" s="14" t="s">
        <v>145</v>
      </c>
      <c r="H44" s="14" t="s">
        <v>217</v>
      </c>
      <c r="I44" s="14" t="str">
        <f>IF(FACTURA_LIMPIA!A44="","",FACTURA_LIMPIA!A44)</f>
        <v/>
      </c>
      <c r="J44" s="14" t="str">
        <f>IF(FACTURA_LIMPIA!B44="","",FACTURA_LIMPIA!B44)</f>
        <v/>
      </c>
      <c r="K44" s="16" t="str">
        <f>IF(FACTURA_LIMPIA!D44="","",FACTURA_LIMPIA!D44)</f>
        <v/>
      </c>
      <c r="L44" s="14"/>
    </row>
    <row r="45" spans="1:12">
      <c r="A45" s="14" t="s">
        <v>172</v>
      </c>
      <c r="B45" s="14">
        <v>1</v>
      </c>
      <c r="C45" s="14" t="str">
        <f>IF(DATOS_LOTE!$B$4="","",DATOS_LOTE!$B$4)</f>
        <v/>
      </c>
      <c r="D45" s="15" t="str">
        <f>IF(DATOS_LOTE!$B$5="","",DATOS_LOTE!$B$5)</f>
        <v/>
      </c>
      <c r="E45" s="14" t="s">
        <v>173</v>
      </c>
      <c r="F45" s="14">
        <v>45</v>
      </c>
      <c r="G45" s="14" t="s">
        <v>147</v>
      </c>
      <c r="H45" s="14" t="s">
        <v>218</v>
      </c>
      <c r="I45" s="14" t="str">
        <f>IF(FACTURA_LIMPIA!A45="","",FACTURA_LIMPIA!A45)</f>
        <v/>
      </c>
      <c r="J45" s="14" t="str">
        <f>IF(FACTURA_LIMPIA!B45="","",FACTURA_LIMPIA!B45)</f>
        <v/>
      </c>
      <c r="K45" s="16" t="str">
        <f>IF(FACTURA_LIMPIA!D45="","",FACTURA_LIMPIA!D45)</f>
        <v/>
      </c>
      <c r="L45" s="14"/>
    </row>
    <row r="46" spans="1:12">
      <c r="A46" s="14" t="s">
        <v>172</v>
      </c>
      <c r="B46" s="14">
        <v>1</v>
      </c>
      <c r="C46" s="14" t="str">
        <f>IF(DATOS_LOTE!$B$4="","",DATOS_LOTE!$B$4)</f>
        <v/>
      </c>
      <c r="D46" s="15" t="str">
        <f>IF(DATOS_LOTE!$B$5="","",DATOS_LOTE!$B$5)</f>
        <v/>
      </c>
      <c r="E46" s="14" t="s">
        <v>173</v>
      </c>
      <c r="F46" s="14">
        <v>46</v>
      </c>
      <c r="G46" s="14" t="s">
        <v>149</v>
      </c>
      <c r="H46" s="14" t="s">
        <v>219</v>
      </c>
      <c r="I46" s="14" t="str">
        <f>IF(FACTURA_LIMPIA!A46="","",FACTURA_LIMPIA!A46)</f>
        <v/>
      </c>
      <c r="J46" s="14" t="str">
        <f>IF(FACTURA_LIMPIA!B46="","",FACTURA_LIMPIA!B46)</f>
        <v/>
      </c>
      <c r="K46" s="16" t="str">
        <f>IF(FACTURA_LIMPIA!D46="","",FACTURA_LIMPIA!D46)</f>
        <v/>
      </c>
      <c r="L46" s="14"/>
    </row>
    <row r="47" spans="1:12">
      <c r="A47" s="14" t="s">
        <v>172</v>
      </c>
      <c r="B47" s="14">
        <v>1</v>
      </c>
      <c r="C47" s="14" t="str">
        <f>IF(DATOS_LOTE!$B$4="","",DATOS_LOTE!$B$4)</f>
        <v/>
      </c>
      <c r="D47" s="15" t="str">
        <f>IF(DATOS_LOTE!$B$5="","",DATOS_LOTE!$B$5)</f>
        <v/>
      </c>
      <c r="E47" s="14" t="s">
        <v>173</v>
      </c>
      <c r="F47" s="14">
        <v>47</v>
      </c>
      <c r="G47" s="14" t="s">
        <v>151</v>
      </c>
      <c r="H47" s="14" t="s">
        <v>220</v>
      </c>
      <c r="I47" s="14" t="str">
        <f>IF(FACTURA_LIMPIA!A47="","",FACTURA_LIMPIA!A47)</f>
        <v/>
      </c>
      <c r="J47" s="14" t="str">
        <f>IF(FACTURA_LIMPIA!B47="","",FACTURA_LIMPIA!B47)</f>
        <v/>
      </c>
      <c r="K47" s="16" t="str">
        <f>IF(FACTURA_LIMPIA!D47="","",FACTURA_LIMPIA!D47)</f>
        <v/>
      </c>
      <c r="L47" s="14"/>
    </row>
    <row r="48" spans="1:12">
      <c r="A48" s="14" t="s">
        <v>172</v>
      </c>
      <c r="B48" s="14">
        <v>1</v>
      </c>
      <c r="C48" s="14" t="str">
        <f>IF(DATOS_LOTE!$B$4="","",DATOS_LOTE!$B$4)</f>
        <v/>
      </c>
      <c r="D48" s="15" t="str">
        <f>IF(DATOS_LOTE!$B$5="","",DATOS_LOTE!$B$5)</f>
        <v/>
      </c>
      <c r="E48" s="14" t="s">
        <v>221</v>
      </c>
      <c r="F48" s="14">
        <v>2</v>
      </c>
      <c r="G48" s="14" t="s">
        <v>62</v>
      </c>
      <c r="H48" s="14" t="s">
        <v>222</v>
      </c>
      <c r="I48" s="14" t="str">
        <f>IF(FACTURA_LIMPIA!F2="","",FACTURA_LIMPIA!F2)</f>
        <v/>
      </c>
      <c r="J48" s="14" t="str">
        <f>IF(FACTURA_LIMPIA!G2="","",FACTURA_LIMPIA!G2)</f>
        <v/>
      </c>
      <c r="K48" s="16" t="str">
        <f>IF(FACTURA_LIMPIA!I2="","",FACTURA_LIMPIA!I2)</f>
        <v/>
      </c>
      <c r="L48" s="14"/>
    </row>
    <row r="49" spans="1:12">
      <c r="A49" s="14" t="s">
        <v>172</v>
      </c>
      <c r="B49" s="14">
        <v>1</v>
      </c>
      <c r="C49" s="14" t="str">
        <f>IF(DATOS_LOTE!$B$4="","",DATOS_LOTE!$B$4)</f>
        <v/>
      </c>
      <c r="D49" s="15" t="str">
        <f>IF(DATOS_LOTE!$B$5="","",DATOS_LOTE!$B$5)</f>
        <v/>
      </c>
      <c r="E49" s="14" t="s">
        <v>221</v>
      </c>
      <c r="F49" s="14">
        <v>3</v>
      </c>
      <c r="G49" s="14" t="s">
        <v>64</v>
      </c>
      <c r="H49" s="14" t="s">
        <v>223</v>
      </c>
      <c r="I49" s="14" t="str">
        <f>IF(FACTURA_LIMPIA!F3="","",FACTURA_LIMPIA!F3)</f>
        <v/>
      </c>
      <c r="J49" s="14" t="str">
        <f>IF(FACTURA_LIMPIA!G3="","",FACTURA_LIMPIA!G3)</f>
        <v/>
      </c>
      <c r="K49" s="16" t="str">
        <f>IF(FACTURA_LIMPIA!I3="","",FACTURA_LIMPIA!I3)</f>
        <v/>
      </c>
      <c r="L49" s="14"/>
    </row>
    <row r="50" spans="1:12">
      <c r="A50" s="14" t="s">
        <v>172</v>
      </c>
      <c r="B50" s="14">
        <v>1</v>
      </c>
      <c r="C50" s="14" t="str">
        <f>IF(DATOS_LOTE!$B$4="","",DATOS_LOTE!$B$4)</f>
        <v/>
      </c>
      <c r="D50" s="15" t="str">
        <f>IF(DATOS_LOTE!$B$5="","",DATOS_LOTE!$B$5)</f>
        <v/>
      </c>
      <c r="E50" s="14" t="s">
        <v>221</v>
      </c>
      <c r="F50" s="14">
        <v>4</v>
      </c>
      <c r="G50" s="14" t="s">
        <v>66</v>
      </c>
      <c r="H50" s="14" t="s">
        <v>224</v>
      </c>
      <c r="I50" s="14" t="str">
        <f>IF(FACTURA_LIMPIA!F4="","",FACTURA_LIMPIA!F4)</f>
        <v/>
      </c>
      <c r="J50" s="14" t="str">
        <f>IF(FACTURA_LIMPIA!G4="","",FACTURA_LIMPIA!G4)</f>
        <v/>
      </c>
      <c r="K50" s="16" t="str">
        <f>IF(FACTURA_LIMPIA!I4="","",FACTURA_LIMPIA!I4)</f>
        <v/>
      </c>
      <c r="L50" s="14"/>
    </row>
    <row r="51" spans="1:12">
      <c r="A51" s="14" t="s">
        <v>172</v>
      </c>
      <c r="B51" s="14">
        <v>1</v>
      </c>
      <c r="C51" s="14" t="str">
        <f>IF(DATOS_LOTE!$B$4="","",DATOS_LOTE!$B$4)</f>
        <v/>
      </c>
      <c r="D51" s="15" t="str">
        <f>IF(DATOS_LOTE!$B$5="","",DATOS_LOTE!$B$5)</f>
        <v/>
      </c>
      <c r="E51" s="14" t="s">
        <v>221</v>
      </c>
      <c r="F51" s="14">
        <v>5</v>
      </c>
      <c r="G51" s="14" t="s">
        <v>68</v>
      </c>
      <c r="H51" s="14" t="s">
        <v>225</v>
      </c>
      <c r="I51" s="14" t="str">
        <f>IF(FACTURA_LIMPIA!F5="","",FACTURA_LIMPIA!F5)</f>
        <v/>
      </c>
      <c r="J51" s="14" t="str">
        <f>IF(FACTURA_LIMPIA!G5="","",FACTURA_LIMPIA!G5)</f>
        <v/>
      </c>
      <c r="K51" s="16" t="str">
        <f>IF(FACTURA_LIMPIA!I5="","",FACTURA_LIMPIA!I5)</f>
        <v/>
      </c>
      <c r="L51" s="14"/>
    </row>
    <row r="52" spans="1:12">
      <c r="A52" s="14" t="s">
        <v>172</v>
      </c>
      <c r="B52" s="14">
        <v>1</v>
      </c>
      <c r="C52" s="14" t="str">
        <f>IF(DATOS_LOTE!$B$4="","",DATOS_LOTE!$B$4)</f>
        <v/>
      </c>
      <c r="D52" s="15" t="str">
        <f>IF(DATOS_LOTE!$B$5="","",DATOS_LOTE!$B$5)</f>
        <v/>
      </c>
      <c r="E52" s="14" t="s">
        <v>221</v>
      </c>
      <c r="F52" s="14">
        <v>6</v>
      </c>
      <c r="G52" s="14" t="s">
        <v>70</v>
      </c>
      <c r="H52" s="14" t="s">
        <v>226</v>
      </c>
      <c r="I52" s="14" t="str">
        <f>IF(FACTURA_LIMPIA!F6="","",FACTURA_LIMPIA!F6)</f>
        <v/>
      </c>
      <c r="J52" s="14" t="str">
        <f>IF(FACTURA_LIMPIA!G6="","",FACTURA_LIMPIA!G6)</f>
        <v/>
      </c>
      <c r="K52" s="16" t="str">
        <f>IF(FACTURA_LIMPIA!I6="","",FACTURA_LIMPIA!I6)</f>
        <v/>
      </c>
      <c r="L52" s="14"/>
    </row>
    <row r="53" spans="1:12">
      <c r="A53" s="14" t="s">
        <v>172</v>
      </c>
      <c r="B53" s="14">
        <v>1</v>
      </c>
      <c r="C53" s="14" t="str">
        <f>IF(DATOS_LOTE!$B$4="","",DATOS_LOTE!$B$4)</f>
        <v/>
      </c>
      <c r="D53" s="15" t="str">
        <f>IF(DATOS_LOTE!$B$5="","",DATOS_LOTE!$B$5)</f>
        <v/>
      </c>
      <c r="E53" s="14" t="s">
        <v>221</v>
      </c>
      <c r="F53" s="14">
        <v>7</v>
      </c>
      <c r="G53" s="14" t="s">
        <v>72</v>
      </c>
      <c r="H53" s="14" t="s">
        <v>227</v>
      </c>
      <c r="I53" s="14" t="str">
        <f>IF(FACTURA_LIMPIA!F7="","",FACTURA_LIMPIA!F7)</f>
        <v/>
      </c>
      <c r="J53" s="14" t="str">
        <f>IF(FACTURA_LIMPIA!G7="","",FACTURA_LIMPIA!G7)</f>
        <v/>
      </c>
      <c r="K53" s="16" t="str">
        <f>IF(FACTURA_LIMPIA!I7="","",FACTURA_LIMPIA!I7)</f>
        <v/>
      </c>
      <c r="L53" s="14"/>
    </row>
    <row r="54" spans="1:12">
      <c r="A54" s="14" t="s">
        <v>172</v>
      </c>
      <c r="B54" s="14">
        <v>1</v>
      </c>
      <c r="C54" s="14" t="str">
        <f>IF(DATOS_LOTE!$B$4="","",DATOS_LOTE!$B$4)</f>
        <v/>
      </c>
      <c r="D54" s="15" t="str">
        <f>IF(DATOS_LOTE!$B$5="","",DATOS_LOTE!$B$5)</f>
        <v/>
      </c>
      <c r="E54" s="14" t="s">
        <v>221</v>
      </c>
      <c r="F54" s="14">
        <v>8</v>
      </c>
      <c r="G54" s="14" t="s">
        <v>74</v>
      </c>
      <c r="H54" s="14" t="s">
        <v>228</v>
      </c>
      <c r="I54" s="14" t="str">
        <f>IF(FACTURA_LIMPIA!F8="","",FACTURA_LIMPIA!F8)</f>
        <v/>
      </c>
      <c r="J54" s="14" t="str">
        <f>IF(FACTURA_LIMPIA!G8="","",FACTURA_LIMPIA!G8)</f>
        <v/>
      </c>
      <c r="K54" s="16" t="str">
        <f>IF(FACTURA_LIMPIA!I8="","",FACTURA_LIMPIA!I8)</f>
        <v/>
      </c>
      <c r="L54" s="14"/>
    </row>
    <row r="55" spans="1:12">
      <c r="A55" s="14" t="s">
        <v>172</v>
      </c>
      <c r="B55" s="14">
        <v>1</v>
      </c>
      <c r="C55" s="14" t="str">
        <f>IF(DATOS_LOTE!$B$4="","",DATOS_LOTE!$B$4)</f>
        <v/>
      </c>
      <c r="D55" s="15" t="str">
        <f>IF(DATOS_LOTE!$B$5="","",DATOS_LOTE!$B$5)</f>
        <v/>
      </c>
      <c r="E55" s="14" t="s">
        <v>221</v>
      </c>
      <c r="F55" s="14">
        <v>9</v>
      </c>
      <c r="G55" s="14" t="s">
        <v>76</v>
      </c>
      <c r="H55" s="14" t="s">
        <v>229</v>
      </c>
      <c r="I55" s="14" t="str">
        <f>IF(FACTURA_LIMPIA!F9="","",FACTURA_LIMPIA!F9)</f>
        <v/>
      </c>
      <c r="J55" s="14" t="str">
        <f>IF(FACTURA_LIMPIA!G9="","",FACTURA_LIMPIA!G9)</f>
        <v/>
      </c>
      <c r="K55" s="16" t="str">
        <f>IF(FACTURA_LIMPIA!I9="","",FACTURA_LIMPIA!I9)</f>
        <v/>
      </c>
      <c r="L55" s="14"/>
    </row>
    <row r="56" spans="1:12">
      <c r="A56" s="14" t="s">
        <v>172</v>
      </c>
      <c r="B56" s="14">
        <v>1</v>
      </c>
      <c r="C56" s="14" t="str">
        <f>IF(DATOS_LOTE!$B$4="","",DATOS_LOTE!$B$4)</f>
        <v/>
      </c>
      <c r="D56" s="15" t="str">
        <f>IF(DATOS_LOTE!$B$5="","",DATOS_LOTE!$B$5)</f>
        <v/>
      </c>
      <c r="E56" s="14" t="s">
        <v>221</v>
      </c>
      <c r="F56" s="14">
        <v>10</v>
      </c>
      <c r="G56" s="14" t="s">
        <v>78</v>
      </c>
      <c r="H56" s="14" t="s">
        <v>230</v>
      </c>
      <c r="I56" s="14" t="str">
        <f>IF(FACTURA_LIMPIA!F10="","",FACTURA_LIMPIA!F10)</f>
        <v/>
      </c>
      <c r="J56" s="14" t="str">
        <f>IF(FACTURA_LIMPIA!G10="","",FACTURA_LIMPIA!G10)</f>
        <v/>
      </c>
      <c r="K56" s="16" t="str">
        <f>IF(FACTURA_LIMPIA!I10="","",FACTURA_LIMPIA!I10)</f>
        <v/>
      </c>
      <c r="L56" s="14"/>
    </row>
    <row r="57" spans="1:12">
      <c r="A57" s="14" t="s">
        <v>172</v>
      </c>
      <c r="B57" s="14">
        <v>1</v>
      </c>
      <c r="C57" s="14" t="str">
        <f>IF(DATOS_LOTE!$B$4="","",DATOS_LOTE!$B$4)</f>
        <v/>
      </c>
      <c r="D57" s="15" t="str">
        <f>IF(DATOS_LOTE!$B$5="","",DATOS_LOTE!$B$5)</f>
        <v/>
      </c>
      <c r="E57" s="14" t="s">
        <v>221</v>
      </c>
      <c r="F57" s="14">
        <v>11</v>
      </c>
      <c r="G57" s="14" t="s">
        <v>80</v>
      </c>
      <c r="H57" s="14" t="s">
        <v>231</v>
      </c>
      <c r="I57" s="14" t="str">
        <f>IF(FACTURA_LIMPIA!F11="","",FACTURA_LIMPIA!F11)</f>
        <v/>
      </c>
      <c r="J57" s="14" t="str">
        <f>IF(FACTURA_LIMPIA!G11="","",FACTURA_LIMPIA!G11)</f>
        <v/>
      </c>
      <c r="K57" s="16" t="str">
        <f>IF(FACTURA_LIMPIA!I11="","",FACTURA_LIMPIA!I11)</f>
        <v/>
      </c>
      <c r="L57" s="14"/>
    </row>
    <row r="58" spans="1:12">
      <c r="A58" s="14" t="s">
        <v>172</v>
      </c>
      <c r="B58" s="14">
        <v>1</v>
      </c>
      <c r="C58" s="14" t="str">
        <f>IF(DATOS_LOTE!$B$4="","",DATOS_LOTE!$B$4)</f>
        <v/>
      </c>
      <c r="D58" s="15" t="str">
        <f>IF(DATOS_LOTE!$B$5="","",DATOS_LOTE!$B$5)</f>
        <v/>
      </c>
      <c r="E58" s="14" t="s">
        <v>221</v>
      </c>
      <c r="F58" s="14">
        <v>12</v>
      </c>
      <c r="G58" s="14" t="s">
        <v>82</v>
      </c>
      <c r="H58" s="14" t="s">
        <v>232</v>
      </c>
      <c r="I58" s="14" t="str">
        <f>IF(FACTURA_LIMPIA!F12="","",FACTURA_LIMPIA!F12)</f>
        <v/>
      </c>
      <c r="J58" s="14" t="str">
        <f>IF(FACTURA_LIMPIA!G12="","",FACTURA_LIMPIA!G12)</f>
        <v/>
      </c>
      <c r="K58" s="16" t="str">
        <f>IF(FACTURA_LIMPIA!I12="","",FACTURA_LIMPIA!I12)</f>
        <v/>
      </c>
      <c r="L58" s="14"/>
    </row>
    <row r="59" spans="1:12">
      <c r="A59" s="14" t="s">
        <v>172</v>
      </c>
      <c r="B59" s="14">
        <v>1</v>
      </c>
      <c r="C59" s="14" t="str">
        <f>IF(DATOS_LOTE!$B$4="","",DATOS_LOTE!$B$4)</f>
        <v/>
      </c>
      <c r="D59" s="15" t="str">
        <f>IF(DATOS_LOTE!$B$5="","",DATOS_LOTE!$B$5)</f>
        <v/>
      </c>
      <c r="E59" s="14" t="s">
        <v>221</v>
      </c>
      <c r="F59" s="14">
        <v>13</v>
      </c>
      <c r="G59" s="14" t="s">
        <v>84</v>
      </c>
      <c r="H59" s="14" t="s">
        <v>233</v>
      </c>
      <c r="I59" s="14" t="str">
        <f>IF(FACTURA_LIMPIA!F13="","",FACTURA_LIMPIA!F13)</f>
        <v/>
      </c>
      <c r="J59" s="14" t="str">
        <f>IF(FACTURA_LIMPIA!G13="","",FACTURA_LIMPIA!G13)</f>
        <v/>
      </c>
      <c r="K59" s="16" t="str">
        <f>IF(FACTURA_LIMPIA!I13="","",FACTURA_LIMPIA!I13)</f>
        <v/>
      </c>
      <c r="L59" s="14"/>
    </row>
    <row r="60" spans="1:12">
      <c r="A60" s="14" t="s">
        <v>172</v>
      </c>
      <c r="B60" s="14">
        <v>1</v>
      </c>
      <c r="C60" s="14" t="str">
        <f>IF(DATOS_LOTE!$B$4="","",DATOS_LOTE!$B$4)</f>
        <v/>
      </c>
      <c r="D60" s="15" t="str">
        <f>IF(DATOS_LOTE!$B$5="","",DATOS_LOTE!$B$5)</f>
        <v/>
      </c>
      <c r="E60" s="14" t="s">
        <v>221</v>
      </c>
      <c r="F60" s="14">
        <v>14</v>
      </c>
      <c r="G60" s="14" t="s">
        <v>86</v>
      </c>
      <c r="H60" s="14" t="s">
        <v>234</v>
      </c>
      <c r="I60" s="14" t="str">
        <f>IF(FACTURA_LIMPIA!F14="","",FACTURA_LIMPIA!F14)</f>
        <v/>
      </c>
      <c r="J60" s="14" t="str">
        <f>IF(FACTURA_LIMPIA!G14="","",FACTURA_LIMPIA!G14)</f>
        <v/>
      </c>
      <c r="K60" s="16" t="str">
        <f>IF(FACTURA_LIMPIA!I14="","",FACTURA_LIMPIA!I14)</f>
        <v/>
      </c>
      <c r="L60" s="14"/>
    </row>
    <row r="61" spans="1:12">
      <c r="A61" s="14" t="s">
        <v>172</v>
      </c>
      <c r="B61" s="14">
        <v>1</v>
      </c>
      <c r="C61" s="14" t="str">
        <f>IF(DATOS_LOTE!$B$4="","",DATOS_LOTE!$B$4)</f>
        <v/>
      </c>
      <c r="D61" s="15" t="str">
        <f>IF(DATOS_LOTE!$B$5="","",DATOS_LOTE!$B$5)</f>
        <v/>
      </c>
      <c r="E61" s="14" t="s">
        <v>221</v>
      </c>
      <c r="F61" s="14">
        <v>15</v>
      </c>
      <c r="G61" s="14" t="s">
        <v>88</v>
      </c>
      <c r="H61" s="14" t="s">
        <v>235</v>
      </c>
      <c r="I61" s="14" t="str">
        <f>IF(FACTURA_LIMPIA!F15="","",FACTURA_LIMPIA!F15)</f>
        <v/>
      </c>
      <c r="J61" s="14" t="str">
        <f>IF(FACTURA_LIMPIA!G15="","",FACTURA_LIMPIA!G15)</f>
        <v/>
      </c>
      <c r="K61" s="16" t="str">
        <f>IF(FACTURA_LIMPIA!I15="","",FACTURA_LIMPIA!I15)</f>
        <v/>
      </c>
      <c r="L61" s="14"/>
    </row>
    <row r="62" spans="1:12">
      <c r="A62" s="14" t="s">
        <v>172</v>
      </c>
      <c r="B62" s="14">
        <v>1</v>
      </c>
      <c r="C62" s="14" t="str">
        <f>IF(DATOS_LOTE!$B$4="","",DATOS_LOTE!$B$4)</f>
        <v/>
      </c>
      <c r="D62" s="15" t="str">
        <f>IF(DATOS_LOTE!$B$5="","",DATOS_LOTE!$B$5)</f>
        <v/>
      </c>
      <c r="E62" s="14" t="s">
        <v>221</v>
      </c>
      <c r="F62" s="14">
        <v>16</v>
      </c>
      <c r="G62" s="14" t="s">
        <v>90</v>
      </c>
      <c r="H62" s="14" t="s">
        <v>236</v>
      </c>
      <c r="I62" s="14" t="str">
        <f>IF(FACTURA_LIMPIA!F16="","",FACTURA_LIMPIA!F16)</f>
        <v/>
      </c>
      <c r="J62" s="14" t="str">
        <f>IF(FACTURA_LIMPIA!G16="","",FACTURA_LIMPIA!G16)</f>
        <v/>
      </c>
      <c r="K62" s="16" t="str">
        <f>IF(FACTURA_LIMPIA!I16="","",FACTURA_LIMPIA!I16)</f>
        <v/>
      </c>
      <c r="L62" s="14"/>
    </row>
    <row r="63" spans="1:12">
      <c r="A63" s="14" t="s">
        <v>172</v>
      </c>
      <c r="B63" s="14">
        <v>1</v>
      </c>
      <c r="C63" s="14" t="str">
        <f>IF(DATOS_LOTE!$B$4="","",DATOS_LOTE!$B$4)</f>
        <v/>
      </c>
      <c r="D63" s="15" t="str">
        <f>IF(DATOS_LOTE!$B$5="","",DATOS_LOTE!$B$5)</f>
        <v/>
      </c>
      <c r="E63" s="14" t="s">
        <v>221</v>
      </c>
      <c r="F63" s="14">
        <v>17</v>
      </c>
      <c r="G63" s="14" t="s">
        <v>92</v>
      </c>
      <c r="H63" s="14" t="s">
        <v>237</v>
      </c>
      <c r="I63" s="14" t="str">
        <f>IF(FACTURA_LIMPIA!F17="","",FACTURA_LIMPIA!F17)</f>
        <v/>
      </c>
      <c r="J63" s="14" t="str">
        <f>IF(FACTURA_LIMPIA!G17="","",FACTURA_LIMPIA!G17)</f>
        <v/>
      </c>
      <c r="K63" s="16" t="str">
        <f>IF(FACTURA_LIMPIA!I17="","",FACTURA_LIMPIA!I17)</f>
        <v/>
      </c>
      <c r="L63" s="14"/>
    </row>
    <row r="64" spans="1:12">
      <c r="A64" s="14" t="s">
        <v>172</v>
      </c>
      <c r="B64" s="14">
        <v>1</v>
      </c>
      <c r="C64" s="14" t="str">
        <f>IF(DATOS_LOTE!$B$4="","",DATOS_LOTE!$B$4)</f>
        <v/>
      </c>
      <c r="D64" s="15" t="str">
        <f>IF(DATOS_LOTE!$B$5="","",DATOS_LOTE!$B$5)</f>
        <v/>
      </c>
      <c r="E64" s="14" t="s">
        <v>221</v>
      </c>
      <c r="F64" s="14">
        <v>18</v>
      </c>
      <c r="G64" s="14" t="s">
        <v>94</v>
      </c>
      <c r="H64" s="14" t="s">
        <v>238</v>
      </c>
      <c r="I64" s="14" t="str">
        <f>IF(FACTURA_LIMPIA!F18="","",FACTURA_LIMPIA!F18)</f>
        <v/>
      </c>
      <c r="J64" s="14" t="str">
        <f>IF(FACTURA_LIMPIA!G18="","",FACTURA_LIMPIA!G18)</f>
        <v/>
      </c>
      <c r="K64" s="16" t="str">
        <f>IF(FACTURA_LIMPIA!I18="","",FACTURA_LIMPIA!I18)</f>
        <v/>
      </c>
      <c r="L64" s="14"/>
    </row>
    <row r="65" spans="1:12">
      <c r="A65" s="14" t="s">
        <v>172</v>
      </c>
      <c r="B65" s="14">
        <v>1</v>
      </c>
      <c r="C65" s="14" t="str">
        <f>IF(DATOS_LOTE!$B$4="","",DATOS_LOTE!$B$4)</f>
        <v/>
      </c>
      <c r="D65" s="15" t="str">
        <f>IF(DATOS_LOTE!$B$5="","",DATOS_LOTE!$B$5)</f>
        <v/>
      </c>
      <c r="E65" s="14" t="s">
        <v>221</v>
      </c>
      <c r="F65" s="14">
        <v>19</v>
      </c>
      <c r="G65" s="14" t="s">
        <v>96</v>
      </c>
      <c r="H65" s="14" t="s">
        <v>239</v>
      </c>
      <c r="I65" s="14" t="str">
        <f>IF(FACTURA_LIMPIA!F19="","",FACTURA_LIMPIA!F19)</f>
        <v/>
      </c>
      <c r="J65" s="14" t="str">
        <f>IF(FACTURA_LIMPIA!G19="","",FACTURA_LIMPIA!G19)</f>
        <v/>
      </c>
      <c r="K65" s="16" t="str">
        <f>IF(FACTURA_LIMPIA!I19="","",FACTURA_LIMPIA!I19)</f>
        <v/>
      </c>
      <c r="L65" s="14"/>
    </row>
    <row r="66" spans="1:12">
      <c r="A66" s="14" t="s">
        <v>172</v>
      </c>
      <c r="B66" s="14">
        <v>1</v>
      </c>
      <c r="C66" s="14" t="str">
        <f>IF(DATOS_LOTE!$B$4="","",DATOS_LOTE!$B$4)</f>
        <v/>
      </c>
      <c r="D66" s="15" t="str">
        <f>IF(DATOS_LOTE!$B$5="","",DATOS_LOTE!$B$5)</f>
        <v/>
      </c>
      <c r="E66" s="14" t="s">
        <v>221</v>
      </c>
      <c r="F66" s="14">
        <v>20</v>
      </c>
      <c r="G66" s="14" t="s">
        <v>98</v>
      </c>
      <c r="H66" s="14" t="s">
        <v>240</v>
      </c>
      <c r="I66" s="14" t="str">
        <f>IF(FACTURA_LIMPIA!F20="","",FACTURA_LIMPIA!F20)</f>
        <v/>
      </c>
      <c r="J66" s="14" t="str">
        <f>IF(FACTURA_LIMPIA!G20="","",FACTURA_LIMPIA!G20)</f>
        <v/>
      </c>
      <c r="K66" s="16" t="str">
        <f>IF(FACTURA_LIMPIA!I20="","",FACTURA_LIMPIA!I20)</f>
        <v/>
      </c>
      <c r="L66" s="14"/>
    </row>
    <row r="67" spans="1:12">
      <c r="A67" s="14" t="s">
        <v>172</v>
      </c>
      <c r="B67" s="14">
        <v>1</v>
      </c>
      <c r="C67" s="14" t="str">
        <f>IF(DATOS_LOTE!$B$4="","",DATOS_LOTE!$B$4)</f>
        <v/>
      </c>
      <c r="D67" s="15" t="str">
        <f>IF(DATOS_LOTE!$B$5="","",DATOS_LOTE!$B$5)</f>
        <v/>
      </c>
      <c r="E67" s="14" t="s">
        <v>221</v>
      </c>
      <c r="F67" s="14">
        <v>21</v>
      </c>
      <c r="G67" s="14" t="s">
        <v>100</v>
      </c>
      <c r="H67" s="14" t="s">
        <v>241</v>
      </c>
      <c r="I67" s="14" t="str">
        <f>IF(FACTURA_LIMPIA!F21="","",FACTURA_LIMPIA!F21)</f>
        <v/>
      </c>
      <c r="J67" s="14" t="str">
        <f>IF(FACTURA_LIMPIA!G21="","",FACTURA_LIMPIA!G21)</f>
        <v/>
      </c>
      <c r="K67" s="16" t="str">
        <f>IF(FACTURA_LIMPIA!I21="","",FACTURA_LIMPIA!I21)</f>
        <v/>
      </c>
      <c r="L67" s="14"/>
    </row>
    <row r="68" spans="1:12">
      <c r="A68" s="14" t="s">
        <v>172</v>
      </c>
      <c r="B68" s="14">
        <v>1</v>
      </c>
      <c r="C68" s="14" t="str">
        <f>IF(DATOS_LOTE!$B$4="","",DATOS_LOTE!$B$4)</f>
        <v/>
      </c>
      <c r="D68" s="15" t="str">
        <f>IF(DATOS_LOTE!$B$5="","",DATOS_LOTE!$B$5)</f>
        <v/>
      </c>
      <c r="E68" s="14" t="s">
        <v>221</v>
      </c>
      <c r="F68" s="14">
        <v>22</v>
      </c>
      <c r="G68" s="14" t="s">
        <v>102</v>
      </c>
      <c r="H68" s="14" t="s">
        <v>242</v>
      </c>
      <c r="I68" s="14" t="str">
        <f>IF(FACTURA_LIMPIA!F22="","",FACTURA_LIMPIA!F22)</f>
        <v/>
      </c>
      <c r="J68" s="14" t="str">
        <f>IF(FACTURA_LIMPIA!G22="","",FACTURA_LIMPIA!G22)</f>
        <v/>
      </c>
      <c r="K68" s="16" t="str">
        <f>IF(FACTURA_LIMPIA!I22="","",FACTURA_LIMPIA!I22)</f>
        <v/>
      </c>
      <c r="L68" s="14"/>
    </row>
    <row r="69" spans="1:12">
      <c r="A69" s="14" t="s">
        <v>172</v>
      </c>
      <c r="B69" s="14">
        <v>1</v>
      </c>
      <c r="C69" s="14" t="str">
        <f>IF(DATOS_LOTE!$B$4="","",DATOS_LOTE!$B$4)</f>
        <v/>
      </c>
      <c r="D69" s="15" t="str">
        <f>IF(DATOS_LOTE!$B$5="","",DATOS_LOTE!$B$5)</f>
        <v/>
      </c>
      <c r="E69" s="14" t="s">
        <v>221</v>
      </c>
      <c r="F69" s="14">
        <v>23</v>
      </c>
      <c r="G69" s="14" t="s">
        <v>104</v>
      </c>
      <c r="H69" s="14" t="s">
        <v>243</v>
      </c>
      <c r="I69" s="14" t="str">
        <f>IF(FACTURA_LIMPIA!F23="","",FACTURA_LIMPIA!F23)</f>
        <v/>
      </c>
      <c r="J69" s="14" t="str">
        <f>IF(FACTURA_LIMPIA!G23="","",FACTURA_LIMPIA!G23)</f>
        <v/>
      </c>
      <c r="K69" s="16" t="str">
        <f>IF(FACTURA_LIMPIA!I23="","",FACTURA_LIMPIA!I23)</f>
        <v/>
      </c>
      <c r="L69" s="14"/>
    </row>
    <row r="70" spans="1:12">
      <c r="A70" s="14" t="s">
        <v>172</v>
      </c>
      <c r="B70" s="14">
        <v>1</v>
      </c>
      <c r="C70" s="14" t="str">
        <f>IF(DATOS_LOTE!$B$4="","",DATOS_LOTE!$B$4)</f>
        <v/>
      </c>
      <c r="D70" s="15" t="str">
        <f>IF(DATOS_LOTE!$B$5="","",DATOS_LOTE!$B$5)</f>
        <v/>
      </c>
      <c r="E70" s="14" t="s">
        <v>221</v>
      </c>
      <c r="F70" s="14">
        <v>24</v>
      </c>
      <c r="G70" s="14" t="s">
        <v>106</v>
      </c>
      <c r="H70" s="14" t="s">
        <v>244</v>
      </c>
      <c r="I70" s="14" t="str">
        <f>IF(FACTURA_LIMPIA!F24="","",FACTURA_LIMPIA!F24)</f>
        <v/>
      </c>
      <c r="J70" s="14" t="str">
        <f>IF(FACTURA_LIMPIA!G24="","",FACTURA_LIMPIA!G24)</f>
        <v/>
      </c>
      <c r="K70" s="16" t="str">
        <f>IF(FACTURA_LIMPIA!I24="","",FACTURA_LIMPIA!I24)</f>
        <v/>
      </c>
      <c r="L70" s="14"/>
    </row>
    <row r="71" spans="1:12">
      <c r="A71" s="14" t="s">
        <v>172</v>
      </c>
      <c r="B71" s="14">
        <v>1</v>
      </c>
      <c r="C71" s="14" t="str">
        <f>IF(DATOS_LOTE!$B$4="","",DATOS_LOTE!$B$4)</f>
        <v/>
      </c>
      <c r="D71" s="15" t="str">
        <f>IF(DATOS_LOTE!$B$5="","",DATOS_LOTE!$B$5)</f>
        <v/>
      </c>
      <c r="E71" s="14" t="s">
        <v>221</v>
      </c>
      <c r="F71" s="14">
        <v>25</v>
      </c>
      <c r="G71" s="14" t="s">
        <v>108</v>
      </c>
      <c r="H71" s="14" t="s">
        <v>245</v>
      </c>
      <c r="I71" s="14" t="str">
        <f>IF(FACTURA_LIMPIA!F25="","",FACTURA_LIMPIA!F25)</f>
        <v/>
      </c>
      <c r="J71" s="14" t="str">
        <f>IF(FACTURA_LIMPIA!G25="","",FACTURA_LIMPIA!G25)</f>
        <v/>
      </c>
      <c r="K71" s="16" t="str">
        <f>IF(FACTURA_LIMPIA!I25="","",FACTURA_LIMPIA!I25)</f>
        <v/>
      </c>
      <c r="L71" s="14"/>
    </row>
    <row r="72" spans="1:12">
      <c r="A72" s="14" t="s">
        <v>172</v>
      </c>
      <c r="B72" s="14">
        <v>1</v>
      </c>
      <c r="C72" s="14" t="str">
        <f>IF(DATOS_LOTE!$B$4="","",DATOS_LOTE!$B$4)</f>
        <v/>
      </c>
      <c r="D72" s="15" t="str">
        <f>IF(DATOS_LOTE!$B$5="","",DATOS_LOTE!$B$5)</f>
        <v/>
      </c>
      <c r="E72" s="14" t="s">
        <v>221</v>
      </c>
      <c r="F72" s="14">
        <v>26</v>
      </c>
      <c r="G72" s="14" t="s">
        <v>110</v>
      </c>
      <c r="H72" s="14" t="s">
        <v>246</v>
      </c>
      <c r="I72" s="14" t="str">
        <f>IF(FACTURA_LIMPIA!F26="","",FACTURA_LIMPIA!F26)</f>
        <v/>
      </c>
      <c r="J72" s="14" t="str">
        <f>IF(FACTURA_LIMPIA!G26="","",FACTURA_LIMPIA!G26)</f>
        <v/>
      </c>
      <c r="K72" s="16" t="str">
        <f>IF(FACTURA_LIMPIA!I26="","",FACTURA_LIMPIA!I26)</f>
        <v/>
      </c>
      <c r="L72" s="14"/>
    </row>
    <row r="73" spans="1:12">
      <c r="A73" s="14" t="s">
        <v>172</v>
      </c>
      <c r="B73" s="14">
        <v>1</v>
      </c>
      <c r="C73" s="14" t="str">
        <f>IF(DATOS_LOTE!$B$4="","",DATOS_LOTE!$B$4)</f>
        <v/>
      </c>
      <c r="D73" s="15" t="str">
        <f>IF(DATOS_LOTE!$B$5="","",DATOS_LOTE!$B$5)</f>
        <v/>
      </c>
      <c r="E73" s="14" t="s">
        <v>221</v>
      </c>
      <c r="F73" s="14">
        <v>27</v>
      </c>
      <c r="G73" s="14" t="s">
        <v>112</v>
      </c>
      <c r="H73" s="14" t="s">
        <v>247</v>
      </c>
      <c r="I73" s="14" t="str">
        <f>IF(FACTURA_LIMPIA!F27="","",FACTURA_LIMPIA!F27)</f>
        <v/>
      </c>
      <c r="J73" s="14" t="str">
        <f>IF(FACTURA_LIMPIA!G27="","",FACTURA_LIMPIA!G27)</f>
        <v/>
      </c>
      <c r="K73" s="16" t="str">
        <f>IF(FACTURA_LIMPIA!I27="","",FACTURA_LIMPIA!I27)</f>
        <v/>
      </c>
      <c r="L73" s="14"/>
    </row>
    <row r="74" spans="1:12">
      <c r="A74" s="14" t="s">
        <v>172</v>
      </c>
      <c r="B74" s="14">
        <v>1</v>
      </c>
      <c r="C74" s="14" t="str">
        <f>IF(DATOS_LOTE!$B$4="","",DATOS_LOTE!$B$4)</f>
        <v/>
      </c>
      <c r="D74" s="15" t="str">
        <f>IF(DATOS_LOTE!$B$5="","",DATOS_LOTE!$B$5)</f>
        <v/>
      </c>
      <c r="E74" s="14" t="s">
        <v>221</v>
      </c>
      <c r="F74" s="14">
        <v>28</v>
      </c>
      <c r="G74" s="14" t="s">
        <v>114</v>
      </c>
      <c r="H74" s="14" t="s">
        <v>248</v>
      </c>
      <c r="I74" s="14" t="str">
        <f>IF(FACTURA_LIMPIA!F28="","",FACTURA_LIMPIA!F28)</f>
        <v/>
      </c>
      <c r="J74" s="14" t="str">
        <f>IF(FACTURA_LIMPIA!G28="","",FACTURA_LIMPIA!G28)</f>
        <v/>
      </c>
      <c r="K74" s="16" t="str">
        <f>IF(FACTURA_LIMPIA!I28="","",FACTURA_LIMPIA!I28)</f>
        <v/>
      </c>
      <c r="L74" s="14"/>
    </row>
    <row r="75" spans="1:12">
      <c r="A75" s="14" t="s">
        <v>172</v>
      </c>
      <c r="B75" s="14">
        <v>1</v>
      </c>
      <c r="C75" s="14" t="str">
        <f>IF(DATOS_LOTE!$B$4="","",DATOS_LOTE!$B$4)</f>
        <v/>
      </c>
      <c r="D75" s="15" t="str">
        <f>IF(DATOS_LOTE!$B$5="","",DATOS_LOTE!$B$5)</f>
        <v/>
      </c>
      <c r="E75" s="14" t="s">
        <v>221</v>
      </c>
      <c r="F75" s="14">
        <v>29</v>
      </c>
      <c r="G75" s="14" t="s">
        <v>116</v>
      </c>
      <c r="H75" s="14" t="s">
        <v>249</v>
      </c>
      <c r="I75" s="14" t="str">
        <f>IF(FACTURA_LIMPIA!F29="","",FACTURA_LIMPIA!F29)</f>
        <v/>
      </c>
      <c r="J75" s="14" t="str">
        <f>IF(FACTURA_LIMPIA!G29="","",FACTURA_LIMPIA!G29)</f>
        <v/>
      </c>
      <c r="K75" s="16" t="str">
        <f>IF(FACTURA_LIMPIA!I29="","",FACTURA_LIMPIA!I29)</f>
        <v/>
      </c>
      <c r="L75" s="14"/>
    </row>
    <row r="76" spans="1:12">
      <c r="A76" s="14" t="s">
        <v>172</v>
      </c>
      <c r="B76" s="14">
        <v>1</v>
      </c>
      <c r="C76" s="14" t="str">
        <f>IF(DATOS_LOTE!$B$4="","",DATOS_LOTE!$B$4)</f>
        <v/>
      </c>
      <c r="D76" s="15" t="str">
        <f>IF(DATOS_LOTE!$B$5="","",DATOS_LOTE!$B$5)</f>
        <v/>
      </c>
      <c r="E76" s="14" t="s">
        <v>221</v>
      </c>
      <c r="F76" s="14">
        <v>30</v>
      </c>
      <c r="G76" s="14" t="s">
        <v>118</v>
      </c>
      <c r="H76" s="14" t="s">
        <v>250</v>
      </c>
      <c r="I76" s="14" t="str">
        <f>IF(FACTURA_LIMPIA!F30="","",FACTURA_LIMPIA!F30)</f>
        <v/>
      </c>
      <c r="J76" s="14" t="str">
        <f>IF(FACTURA_LIMPIA!G30="","",FACTURA_LIMPIA!G30)</f>
        <v/>
      </c>
      <c r="K76" s="16" t="str">
        <f>IF(FACTURA_LIMPIA!I30="","",FACTURA_LIMPIA!I30)</f>
        <v/>
      </c>
      <c r="L76" s="14"/>
    </row>
    <row r="77" spans="1:12">
      <c r="A77" s="14" t="s">
        <v>172</v>
      </c>
      <c r="B77" s="14">
        <v>1</v>
      </c>
      <c r="C77" s="14" t="str">
        <f>IF(DATOS_LOTE!$B$4="","",DATOS_LOTE!$B$4)</f>
        <v/>
      </c>
      <c r="D77" s="15" t="str">
        <f>IF(DATOS_LOTE!$B$5="","",DATOS_LOTE!$B$5)</f>
        <v/>
      </c>
      <c r="E77" s="14" t="s">
        <v>221</v>
      </c>
      <c r="F77" s="14">
        <v>31</v>
      </c>
      <c r="G77" s="14" t="s">
        <v>120</v>
      </c>
      <c r="H77" s="14" t="s">
        <v>251</v>
      </c>
      <c r="I77" s="14" t="str">
        <f>IF(FACTURA_LIMPIA!F31="","",FACTURA_LIMPIA!F31)</f>
        <v/>
      </c>
      <c r="J77" s="14" t="str">
        <f>IF(FACTURA_LIMPIA!G31="","",FACTURA_LIMPIA!G31)</f>
        <v/>
      </c>
      <c r="K77" s="16" t="str">
        <f>IF(FACTURA_LIMPIA!I31="","",FACTURA_LIMPIA!I31)</f>
        <v/>
      </c>
      <c r="L77" s="14"/>
    </row>
    <row r="78" spans="1:12">
      <c r="A78" s="14" t="s">
        <v>172</v>
      </c>
      <c r="B78" s="14">
        <v>1</v>
      </c>
      <c r="C78" s="14" t="str">
        <f>IF(DATOS_LOTE!$B$4="","",DATOS_LOTE!$B$4)</f>
        <v/>
      </c>
      <c r="D78" s="15" t="str">
        <f>IF(DATOS_LOTE!$B$5="","",DATOS_LOTE!$B$5)</f>
        <v/>
      </c>
      <c r="E78" s="14" t="s">
        <v>221</v>
      </c>
      <c r="F78" s="14">
        <v>32</v>
      </c>
      <c r="G78" s="14" t="s">
        <v>122</v>
      </c>
      <c r="H78" s="14" t="s">
        <v>252</v>
      </c>
      <c r="I78" s="14" t="str">
        <f>IF(FACTURA_LIMPIA!F32="","",FACTURA_LIMPIA!F32)</f>
        <v/>
      </c>
      <c r="J78" s="14" t="str">
        <f>IF(FACTURA_LIMPIA!G32="","",FACTURA_LIMPIA!G32)</f>
        <v/>
      </c>
      <c r="K78" s="16" t="str">
        <f>IF(FACTURA_LIMPIA!I32="","",FACTURA_LIMPIA!I32)</f>
        <v/>
      </c>
      <c r="L78" s="14"/>
    </row>
    <row r="79" spans="1:12">
      <c r="A79" s="14" t="s">
        <v>172</v>
      </c>
      <c r="B79" s="14">
        <v>1</v>
      </c>
      <c r="C79" s="14" t="str">
        <f>IF(DATOS_LOTE!$B$4="","",DATOS_LOTE!$B$4)</f>
        <v/>
      </c>
      <c r="D79" s="15" t="str">
        <f>IF(DATOS_LOTE!$B$5="","",DATOS_LOTE!$B$5)</f>
        <v/>
      </c>
      <c r="E79" s="14" t="s">
        <v>221</v>
      </c>
      <c r="F79" s="14">
        <v>33</v>
      </c>
      <c r="G79" s="14" t="s">
        <v>124</v>
      </c>
      <c r="H79" s="14" t="s">
        <v>253</v>
      </c>
      <c r="I79" s="14" t="str">
        <f>IF(FACTURA_LIMPIA!F33="","",FACTURA_LIMPIA!F33)</f>
        <v/>
      </c>
      <c r="J79" s="14" t="str">
        <f>IF(FACTURA_LIMPIA!G33="","",FACTURA_LIMPIA!G33)</f>
        <v/>
      </c>
      <c r="K79" s="16" t="str">
        <f>IF(FACTURA_LIMPIA!I33="","",FACTURA_LIMPIA!I33)</f>
        <v/>
      </c>
      <c r="L79" s="14"/>
    </row>
    <row r="80" spans="1:12">
      <c r="A80" s="14" t="s">
        <v>172</v>
      </c>
      <c r="B80" s="14">
        <v>1</v>
      </c>
      <c r="C80" s="14" t="str">
        <f>IF(DATOS_LOTE!$B$4="","",DATOS_LOTE!$B$4)</f>
        <v/>
      </c>
      <c r="D80" s="15" t="str">
        <f>IF(DATOS_LOTE!$B$5="","",DATOS_LOTE!$B$5)</f>
        <v/>
      </c>
      <c r="E80" s="14" t="s">
        <v>221</v>
      </c>
      <c r="F80" s="14">
        <v>34</v>
      </c>
      <c r="G80" s="14" t="s">
        <v>126</v>
      </c>
      <c r="H80" s="14" t="s">
        <v>254</v>
      </c>
      <c r="I80" s="14" t="str">
        <f>IF(FACTURA_LIMPIA!F34="","",FACTURA_LIMPIA!F34)</f>
        <v/>
      </c>
      <c r="J80" s="14" t="str">
        <f>IF(FACTURA_LIMPIA!G34="","",FACTURA_LIMPIA!G34)</f>
        <v/>
      </c>
      <c r="K80" s="16" t="str">
        <f>IF(FACTURA_LIMPIA!I34="","",FACTURA_LIMPIA!I34)</f>
        <v/>
      </c>
      <c r="L80" s="14"/>
    </row>
    <row r="81" spans="1:12">
      <c r="A81" s="14" t="s">
        <v>172</v>
      </c>
      <c r="B81" s="14">
        <v>1</v>
      </c>
      <c r="C81" s="14" t="str">
        <f>IF(DATOS_LOTE!$B$4="","",DATOS_LOTE!$B$4)</f>
        <v/>
      </c>
      <c r="D81" s="15" t="str">
        <f>IF(DATOS_LOTE!$B$5="","",DATOS_LOTE!$B$5)</f>
        <v/>
      </c>
      <c r="E81" s="14" t="s">
        <v>221</v>
      </c>
      <c r="F81" s="14">
        <v>35</v>
      </c>
      <c r="G81" s="14" t="s">
        <v>128</v>
      </c>
      <c r="H81" s="14" t="s">
        <v>255</v>
      </c>
      <c r="I81" s="14" t="str">
        <f>IF(FACTURA_LIMPIA!F35="","",FACTURA_LIMPIA!F35)</f>
        <v/>
      </c>
      <c r="J81" s="14" t="str">
        <f>IF(FACTURA_LIMPIA!G35="","",FACTURA_LIMPIA!G35)</f>
        <v/>
      </c>
      <c r="K81" s="16" t="str">
        <f>IF(FACTURA_LIMPIA!I35="","",FACTURA_LIMPIA!I35)</f>
        <v/>
      </c>
      <c r="L81" s="14"/>
    </row>
    <row r="82" spans="1:12">
      <c r="A82" s="14" t="s">
        <v>172</v>
      </c>
      <c r="B82" s="14">
        <v>1</v>
      </c>
      <c r="C82" s="14" t="str">
        <f>IF(DATOS_LOTE!$B$4="","",DATOS_LOTE!$B$4)</f>
        <v/>
      </c>
      <c r="D82" s="15" t="str">
        <f>IF(DATOS_LOTE!$B$5="","",DATOS_LOTE!$B$5)</f>
        <v/>
      </c>
      <c r="E82" s="14" t="s">
        <v>221</v>
      </c>
      <c r="F82" s="14">
        <v>36</v>
      </c>
      <c r="G82" s="14" t="s">
        <v>130</v>
      </c>
      <c r="H82" s="14" t="s">
        <v>256</v>
      </c>
      <c r="I82" s="14" t="str">
        <f>IF(FACTURA_LIMPIA!F36="","",FACTURA_LIMPIA!F36)</f>
        <v/>
      </c>
      <c r="J82" s="14" t="str">
        <f>IF(FACTURA_LIMPIA!G36="","",FACTURA_LIMPIA!G36)</f>
        <v/>
      </c>
      <c r="K82" s="16" t="str">
        <f>IF(FACTURA_LIMPIA!I36="","",FACTURA_LIMPIA!I36)</f>
        <v/>
      </c>
      <c r="L82" s="14"/>
    </row>
    <row r="83" spans="1:12">
      <c r="A83" s="14" t="s">
        <v>172</v>
      </c>
      <c r="B83" s="14">
        <v>1</v>
      </c>
      <c r="C83" s="14" t="str">
        <f>IF(DATOS_LOTE!$B$4="","",DATOS_LOTE!$B$4)</f>
        <v/>
      </c>
      <c r="D83" s="15" t="str">
        <f>IF(DATOS_LOTE!$B$5="","",DATOS_LOTE!$B$5)</f>
        <v/>
      </c>
      <c r="E83" s="14" t="s">
        <v>221</v>
      </c>
      <c r="F83" s="14">
        <v>37</v>
      </c>
      <c r="G83" s="14" t="s">
        <v>132</v>
      </c>
      <c r="H83" s="14" t="s">
        <v>257</v>
      </c>
      <c r="I83" s="14" t="str">
        <f>IF(FACTURA_LIMPIA!F37="","",FACTURA_LIMPIA!F37)</f>
        <v/>
      </c>
      <c r="J83" s="14" t="str">
        <f>IF(FACTURA_LIMPIA!G37="","",FACTURA_LIMPIA!G37)</f>
        <v/>
      </c>
      <c r="K83" s="16" t="str">
        <f>IF(FACTURA_LIMPIA!I37="","",FACTURA_LIMPIA!I37)</f>
        <v/>
      </c>
      <c r="L83" s="14"/>
    </row>
    <row r="84" spans="1:12">
      <c r="A84" s="14" t="s">
        <v>172</v>
      </c>
      <c r="B84" s="14">
        <v>1</v>
      </c>
      <c r="C84" s="14" t="str">
        <f>IF(DATOS_LOTE!$B$4="","",DATOS_LOTE!$B$4)</f>
        <v/>
      </c>
      <c r="D84" s="15" t="str">
        <f>IF(DATOS_LOTE!$B$5="","",DATOS_LOTE!$B$5)</f>
        <v/>
      </c>
      <c r="E84" s="14" t="s">
        <v>221</v>
      </c>
      <c r="F84" s="14">
        <v>38</v>
      </c>
      <c r="G84" s="14" t="s">
        <v>134</v>
      </c>
      <c r="H84" s="14" t="s">
        <v>258</v>
      </c>
      <c r="I84" s="14" t="str">
        <f>IF(FACTURA_LIMPIA!F38="","",FACTURA_LIMPIA!F38)</f>
        <v/>
      </c>
      <c r="J84" s="14" t="str">
        <f>IF(FACTURA_LIMPIA!G38="","",FACTURA_LIMPIA!G38)</f>
        <v/>
      </c>
      <c r="K84" s="16" t="str">
        <f>IF(FACTURA_LIMPIA!I38="","",FACTURA_LIMPIA!I38)</f>
        <v/>
      </c>
      <c r="L84" s="14"/>
    </row>
    <row r="85" spans="1:12">
      <c r="A85" s="14" t="s">
        <v>172</v>
      </c>
      <c r="B85" s="14">
        <v>1</v>
      </c>
      <c r="C85" s="14" t="str">
        <f>IF(DATOS_LOTE!$B$4="","",DATOS_LOTE!$B$4)</f>
        <v/>
      </c>
      <c r="D85" s="15" t="str">
        <f>IF(DATOS_LOTE!$B$5="","",DATOS_LOTE!$B$5)</f>
        <v/>
      </c>
      <c r="E85" s="14" t="s">
        <v>221</v>
      </c>
      <c r="F85" s="14">
        <v>39</v>
      </c>
      <c r="G85" s="14" t="s">
        <v>136</v>
      </c>
      <c r="H85" s="14" t="s">
        <v>259</v>
      </c>
      <c r="I85" s="14" t="str">
        <f>IF(FACTURA_LIMPIA!F39="","",FACTURA_LIMPIA!F39)</f>
        <v/>
      </c>
      <c r="J85" s="14" t="str">
        <f>IF(FACTURA_LIMPIA!G39="","",FACTURA_LIMPIA!G39)</f>
        <v/>
      </c>
      <c r="K85" s="16" t="str">
        <f>IF(FACTURA_LIMPIA!I39="","",FACTURA_LIMPIA!I39)</f>
        <v/>
      </c>
      <c r="L85" s="14"/>
    </row>
    <row r="86" spans="1:12">
      <c r="A86" s="14" t="s">
        <v>172</v>
      </c>
      <c r="B86" s="14">
        <v>1</v>
      </c>
      <c r="C86" s="14" t="str">
        <f>IF(DATOS_LOTE!$B$4="","",DATOS_LOTE!$B$4)</f>
        <v/>
      </c>
      <c r="D86" s="15" t="str">
        <f>IF(DATOS_LOTE!$B$5="","",DATOS_LOTE!$B$5)</f>
        <v/>
      </c>
      <c r="E86" s="14" t="s">
        <v>221</v>
      </c>
      <c r="F86" s="14">
        <v>40</v>
      </c>
      <c r="G86" s="14" t="s">
        <v>138</v>
      </c>
      <c r="H86" s="14" t="s">
        <v>260</v>
      </c>
      <c r="I86" s="14" t="str">
        <f>IF(FACTURA_LIMPIA!F40="","",FACTURA_LIMPIA!F40)</f>
        <v/>
      </c>
      <c r="J86" s="14" t="str">
        <f>IF(FACTURA_LIMPIA!G40="","",FACTURA_LIMPIA!G40)</f>
        <v/>
      </c>
      <c r="K86" s="16" t="str">
        <f>IF(FACTURA_LIMPIA!I40="","",FACTURA_LIMPIA!I40)</f>
        <v/>
      </c>
      <c r="L86" s="14"/>
    </row>
    <row r="87" spans="1:12">
      <c r="A87" s="14" t="s">
        <v>172</v>
      </c>
      <c r="B87" s="14">
        <v>1</v>
      </c>
      <c r="C87" s="14" t="str">
        <f>IF(DATOS_LOTE!$B$4="","",DATOS_LOTE!$B$4)</f>
        <v/>
      </c>
      <c r="D87" s="15" t="str">
        <f>IF(DATOS_LOTE!$B$5="","",DATOS_LOTE!$B$5)</f>
        <v/>
      </c>
      <c r="E87" s="14" t="s">
        <v>221</v>
      </c>
      <c r="F87" s="14">
        <v>41</v>
      </c>
      <c r="G87" s="14" t="s">
        <v>140</v>
      </c>
      <c r="H87" s="14" t="s">
        <v>261</v>
      </c>
      <c r="I87" s="14" t="str">
        <f>IF(FACTURA_LIMPIA!F41="","",FACTURA_LIMPIA!F41)</f>
        <v/>
      </c>
      <c r="J87" s="14" t="str">
        <f>IF(FACTURA_LIMPIA!G41="","",FACTURA_LIMPIA!G41)</f>
        <v/>
      </c>
      <c r="K87" s="16" t="str">
        <f>IF(FACTURA_LIMPIA!I41="","",FACTURA_LIMPIA!I41)</f>
        <v/>
      </c>
      <c r="L87" s="14"/>
    </row>
    <row r="88" spans="1:12">
      <c r="A88" s="14" t="s">
        <v>172</v>
      </c>
      <c r="B88" s="14">
        <v>1</v>
      </c>
      <c r="C88" s="14" t="str">
        <f>IF(DATOS_LOTE!$B$4="","",DATOS_LOTE!$B$4)</f>
        <v/>
      </c>
      <c r="D88" s="15" t="str">
        <f>IF(DATOS_LOTE!$B$5="","",DATOS_LOTE!$B$5)</f>
        <v/>
      </c>
      <c r="E88" s="14" t="s">
        <v>221</v>
      </c>
      <c r="F88" s="14">
        <v>42</v>
      </c>
      <c r="G88" s="14" t="s">
        <v>142</v>
      </c>
      <c r="H88" s="14" t="s">
        <v>262</v>
      </c>
      <c r="I88" s="14" t="str">
        <f>IF(FACTURA_LIMPIA!F42="","",FACTURA_LIMPIA!F42)</f>
        <v/>
      </c>
      <c r="J88" s="14" t="str">
        <f>IF(FACTURA_LIMPIA!G42="","",FACTURA_LIMPIA!G42)</f>
        <v/>
      </c>
      <c r="K88" s="16" t="str">
        <f>IF(FACTURA_LIMPIA!I42="","",FACTURA_LIMPIA!I42)</f>
        <v/>
      </c>
      <c r="L88" s="14"/>
    </row>
    <row r="89" spans="1:12">
      <c r="A89" s="14" t="s">
        <v>172</v>
      </c>
      <c r="B89" s="14">
        <v>1</v>
      </c>
      <c r="C89" s="14" t="str">
        <f>IF(DATOS_LOTE!$B$4="","",DATOS_LOTE!$B$4)</f>
        <v/>
      </c>
      <c r="D89" s="15" t="str">
        <f>IF(DATOS_LOTE!$B$5="","",DATOS_LOTE!$B$5)</f>
        <v/>
      </c>
      <c r="E89" s="14" t="s">
        <v>221</v>
      </c>
      <c r="F89" s="14">
        <v>43</v>
      </c>
      <c r="G89" s="14" t="s">
        <v>144</v>
      </c>
      <c r="H89" s="14" t="s">
        <v>262</v>
      </c>
      <c r="I89" s="14" t="str">
        <f>IF(FACTURA_LIMPIA!F43="","",FACTURA_LIMPIA!F43)</f>
        <v/>
      </c>
      <c r="J89" s="14" t="str">
        <f>IF(FACTURA_LIMPIA!G43="","",FACTURA_LIMPIA!G43)</f>
        <v/>
      </c>
      <c r="K89" s="16" t="str">
        <f>IF(FACTURA_LIMPIA!I43="","",FACTURA_LIMPIA!I43)</f>
        <v/>
      </c>
      <c r="L89" s="14"/>
    </row>
    <row r="90" spans="1:12">
      <c r="A90" s="14" t="s">
        <v>172</v>
      </c>
      <c r="B90" s="14">
        <v>1</v>
      </c>
      <c r="C90" s="14" t="str">
        <f>IF(DATOS_LOTE!$B$4="","",DATOS_LOTE!$B$4)</f>
        <v/>
      </c>
      <c r="D90" s="15" t="str">
        <f>IF(DATOS_LOTE!$B$5="","",DATOS_LOTE!$B$5)</f>
        <v/>
      </c>
      <c r="E90" s="14" t="s">
        <v>221</v>
      </c>
      <c r="F90" s="14">
        <v>44</v>
      </c>
      <c r="G90" s="14" t="s">
        <v>146</v>
      </c>
      <c r="H90" s="14" t="s">
        <v>263</v>
      </c>
      <c r="I90" s="14" t="str">
        <f>IF(FACTURA_LIMPIA!F44="","",FACTURA_LIMPIA!F44)</f>
        <v/>
      </c>
      <c r="J90" s="14" t="str">
        <f>IF(FACTURA_LIMPIA!G44="","",FACTURA_LIMPIA!G44)</f>
        <v/>
      </c>
      <c r="K90" s="16" t="str">
        <f>IF(FACTURA_LIMPIA!I44="","",FACTURA_LIMPIA!I44)</f>
        <v/>
      </c>
      <c r="L90" s="14"/>
    </row>
    <row r="91" spans="1:12">
      <c r="A91" s="14" t="s">
        <v>172</v>
      </c>
      <c r="B91" s="14">
        <v>1</v>
      </c>
      <c r="C91" s="14" t="str">
        <f>IF(DATOS_LOTE!$B$4="","",DATOS_LOTE!$B$4)</f>
        <v/>
      </c>
      <c r="D91" s="15" t="str">
        <f>IF(DATOS_LOTE!$B$5="","",DATOS_LOTE!$B$5)</f>
        <v/>
      </c>
      <c r="E91" s="14" t="s">
        <v>221</v>
      </c>
      <c r="F91" s="14">
        <v>45</v>
      </c>
      <c r="G91" s="14" t="s">
        <v>148</v>
      </c>
      <c r="H91" s="14" t="s">
        <v>264</v>
      </c>
      <c r="I91" s="14" t="str">
        <f>IF(FACTURA_LIMPIA!F45="","",FACTURA_LIMPIA!F45)</f>
        <v/>
      </c>
      <c r="J91" s="14" t="str">
        <f>IF(FACTURA_LIMPIA!G45="","",FACTURA_LIMPIA!G45)</f>
        <v/>
      </c>
      <c r="K91" s="16" t="str">
        <f>IF(FACTURA_LIMPIA!I45="","",FACTURA_LIMPIA!I45)</f>
        <v/>
      </c>
      <c r="L91" s="14"/>
    </row>
    <row r="92" spans="1:12">
      <c r="A92" s="14" t="s">
        <v>172</v>
      </c>
      <c r="B92" s="14">
        <v>1</v>
      </c>
      <c r="C92" s="14" t="str">
        <f>IF(DATOS_LOTE!$B$4="","",DATOS_LOTE!$B$4)</f>
        <v/>
      </c>
      <c r="D92" s="15" t="str">
        <f>IF(DATOS_LOTE!$B$5="","",DATOS_LOTE!$B$5)</f>
        <v/>
      </c>
      <c r="E92" s="14" t="s">
        <v>221</v>
      </c>
      <c r="F92" s="14">
        <v>46</v>
      </c>
      <c r="G92" s="14" t="s">
        <v>150</v>
      </c>
      <c r="H92" s="14" t="s">
        <v>265</v>
      </c>
      <c r="I92" s="14" t="str">
        <f>IF(FACTURA_LIMPIA!F46="","",FACTURA_LIMPIA!F46)</f>
        <v/>
      </c>
      <c r="J92" s="14" t="str">
        <f>IF(FACTURA_LIMPIA!G46="","",FACTURA_LIMPIA!G46)</f>
        <v/>
      </c>
      <c r="K92" s="16" t="str">
        <f>IF(FACTURA_LIMPIA!I46="","",FACTURA_LIMPIA!I46)</f>
        <v/>
      </c>
      <c r="L92" s="14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2"/>
  <sheetViews>
    <sheetView workbookViewId="0"/>
  </sheetViews>
  <sheetFormatPr baseColWidth="10" defaultColWidth="8.796875" defaultRowHeight="13.8"/>
  <cols>
    <col min="1" max="1" width="12" customWidth="1"/>
    <col min="2" max="2" width="10" customWidth="1"/>
    <col min="3" max="3" width="28" customWidth="1"/>
    <col min="4" max="4" width="26" customWidth="1"/>
    <col min="5" max="5" width="22" customWidth="1"/>
    <col min="6" max="6" width="30" customWidth="1"/>
    <col min="7" max="7" width="38" customWidth="1"/>
    <col min="8" max="8" width="45" customWidth="1"/>
    <col min="9" max="9" width="26" customWidth="1"/>
    <col min="10" max="10" width="12" customWidth="1"/>
    <col min="11" max="12" width="18" customWidth="1"/>
    <col min="13" max="13" width="60" customWidth="1"/>
  </cols>
  <sheetData>
    <row r="1" spans="1:13" ht="22.35" customHeight="1">
      <c r="A1" s="5" t="s">
        <v>163</v>
      </c>
      <c r="B1" s="5" t="s">
        <v>164</v>
      </c>
      <c r="C1" s="5" t="s">
        <v>165</v>
      </c>
      <c r="D1" s="5" t="s">
        <v>166</v>
      </c>
      <c r="E1" s="5" t="s">
        <v>266</v>
      </c>
      <c r="F1" s="5" t="s">
        <v>267</v>
      </c>
      <c r="G1" s="5" t="s">
        <v>268</v>
      </c>
      <c r="H1" s="5" t="s">
        <v>269</v>
      </c>
      <c r="I1" s="5" t="s">
        <v>270</v>
      </c>
      <c r="J1" s="5" t="s">
        <v>271</v>
      </c>
      <c r="K1" s="5" t="s">
        <v>272</v>
      </c>
      <c r="L1" s="5" t="s">
        <v>273</v>
      </c>
      <c r="M1" s="5" t="s">
        <v>274</v>
      </c>
    </row>
    <row r="2" spans="1:13" ht="27.6">
      <c r="A2" s="4" t="s">
        <v>173</v>
      </c>
      <c r="B2" s="4">
        <v>2</v>
      </c>
      <c r="C2" s="4" t="s">
        <v>61</v>
      </c>
      <c r="D2" s="4" t="s">
        <v>174</v>
      </c>
      <c r="E2" s="4" t="s">
        <v>275</v>
      </c>
      <c r="F2" s="4" t="s">
        <v>276</v>
      </c>
      <c r="G2" s="4" t="s">
        <v>277</v>
      </c>
      <c r="H2" s="4"/>
      <c r="I2" s="4" t="s">
        <v>278</v>
      </c>
      <c r="J2" s="17">
        <v>60</v>
      </c>
      <c r="K2" s="4" t="s">
        <v>279</v>
      </c>
      <c r="L2" s="4" t="s">
        <v>279</v>
      </c>
      <c r="M2" s="4" t="s">
        <v>280</v>
      </c>
    </row>
    <row r="3" spans="1:13">
      <c r="A3" s="4" t="s">
        <v>173</v>
      </c>
      <c r="B3" s="4">
        <v>3</v>
      </c>
      <c r="C3" s="4" t="s">
        <v>63</v>
      </c>
      <c r="D3" s="4" t="s">
        <v>176</v>
      </c>
      <c r="E3" s="4" t="s">
        <v>281</v>
      </c>
      <c r="F3" s="4" t="s">
        <v>63</v>
      </c>
      <c r="G3" s="4" t="s">
        <v>282</v>
      </c>
      <c r="H3" s="4"/>
      <c r="I3" s="4" t="s">
        <v>278</v>
      </c>
      <c r="J3" s="17">
        <v>45</v>
      </c>
      <c r="K3" s="4" t="s">
        <v>279</v>
      </c>
      <c r="L3" s="4" t="s">
        <v>279</v>
      </c>
      <c r="M3" s="4" t="s">
        <v>283</v>
      </c>
    </row>
    <row r="4" spans="1:13">
      <c r="A4" s="4" t="s">
        <v>173</v>
      </c>
      <c r="B4" s="4">
        <v>4</v>
      </c>
      <c r="C4" s="4" t="s">
        <v>65</v>
      </c>
      <c r="D4" s="4" t="s">
        <v>177</v>
      </c>
      <c r="E4" s="4" t="s">
        <v>281</v>
      </c>
      <c r="F4" s="4" t="s">
        <v>284</v>
      </c>
      <c r="G4" s="4" t="s">
        <v>285</v>
      </c>
      <c r="H4" s="4"/>
      <c r="I4" s="4" t="s">
        <v>278</v>
      </c>
      <c r="J4" s="17">
        <v>35</v>
      </c>
      <c r="K4" s="4" t="s">
        <v>279</v>
      </c>
      <c r="L4" s="4" t="s">
        <v>279</v>
      </c>
      <c r="M4" s="4" t="s">
        <v>286</v>
      </c>
    </row>
    <row r="5" spans="1:13">
      <c r="A5" s="4" t="s">
        <v>173</v>
      </c>
      <c r="B5" s="4">
        <v>5</v>
      </c>
      <c r="C5" s="4" t="s">
        <v>67</v>
      </c>
      <c r="D5" s="4" t="s">
        <v>178</v>
      </c>
      <c r="E5" s="4" t="s">
        <v>287</v>
      </c>
      <c r="F5" s="4" t="s">
        <v>288</v>
      </c>
      <c r="G5" s="4"/>
      <c r="H5" s="4"/>
      <c r="I5" s="4" t="s">
        <v>287</v>
      </c>
      <c r="J5" s="17">
        <v>60</v>
      </c>
      <c r="K5" s="4" t="s">
        <v>279</v>
      </c>
      <c r="L5" s="4" t="s">
        <v>279</v>
      </c>
      <c r="M5" s="4" t="s">
        <v>289</v>
      </c>
    </row>
    <row r="6" spans="1:13">
      <c r="A6" s="4" t="s">
        <v>173</v>
      </c>
      <c r="B6" s="4">
        <v>6</v>
      </c>
      <c r="C6" s="4" t="s">
        <v>69</v>
      </c>
      <c r="D6" s="4" t="s">
        <v>179</v>
      </c>
      <c r="E6" s="4" t="s">
        <v>290</v>
      </c>
      <c r="F6" s="4"/>
      <c r="G6" s="4"/>
      <c r="H6" s="4"/>
      <c r="I6" s="4" t="s">
        <v>291</v>
      </c>
      <c r="J6" s="17">
        <v>45</v>
      </c>
      <c r="K6" s="4" t="s">
        <v>292</v>
      </c>
      <c r="L6" s="4" t="s">
        <v>292</v>
      </c>
      <c r="M6" s="4" t="s">
        <v>293</v>
      </c>
    </row>
    <row r="7" spans="1:13" ht="27.6">
      <c r="A7" s="4" t="s">
        <v>173</v>
      </c>
      <c r="B7" s="4">
        <v>7</v>
      </c>
      <c r="C7" s="4" t="s">
        <v>71</v>
      </c>
      <c r="D7" s="4" t="s">
        <v>180</v>
      </c>
      <c r="E7" s="4" t="s">
        <v>281</v>
      </c>
      <c r="F7" s="4" t="s">
        <v>71</v>
      </c>
      <c r="G7" s="4" t="s">
        <v>294</v>
      </c>
      <c r="H7" s="4"/>
      <c r="I7" s="4" t="s">
        <v>295</v>
      </c>
      <c r="J7" s="17">
        <v>100</v>
      </c>
      <c r="K7" s="4" t="s">
        <v>279</v>
      </c>
      <c r="L7" s="4" t="s">
        <v>279</v>
      </c>
      <c r="M7" s="4" t="s">
        <v>296</v>
      </c>
    </row>
    <row r="8" spans="1:13">
      <c r="A8" s="4" t="s">
        <v>173</v>
      </c>
      <c r="B8" s="4">
        <v>8</v>
      </c>
      <c r="C8" s="4" t="s">
        <v>73</v>
      </c>
      <c r="D8" s="4" t="s">
        <v>181</v>
      </c>
      <c r="E8" s="4" t="s">
        <v>297</v>
      </c>
      <c r="F8" s="4"/>
      <c r="G8" s="4"/>
      <c r="H8" s="4" t="s">
        <v>298</v>
      </c>
      <c r="I8" s="4" t="s">
        <v>297</v>
      </c>
      <c r="J8" s="17">
        <v>45</v>
      </c>
      <c r="K8" s="4" t="s">
        <v>279</v>
      </c>
      <c r="L8" s="4" t="s">
        <v>279</v>
      </c>
      <c r="M8" s="4" t="s">
        <v>299</v>
      </c>
    </row>
    <row r="9" spans="1:13" ht="27.6">
      <c r="A9" s="4" t="s">
        <v>173</v>
      </c>
      <c r="B9" s="4">
        <v>9</v>
      </c>
      <c r="C9" s="4" t="s">
        <v>75</v>
      </c>
      <c r="D9" s="4" t="s">
        <v>182</v>
      </c>
      <c r="E9" s="4" t="s">
        <v>290</v>
      </c>
      <c r="F9" s="4"/>
      <c r="G9" s="4"/>
      <c r="H9" s="4"/>
      <c r="I9" s="4" t="s">
        <v>300</v>
      </c>
      <c r="J9" s="17">
        <v>70</v>
      </c>
      <c r="K9" s="4" t="s">
        <v>301</v>
      </c>
      <c r="L9" s="4" t="s">
        <v>279</v>
      </c>
      <c r="M9" s="4" t="s">
        <v>302</v>
      </c>
    </row>
    <row r="10" spans="1:13">
      <c r="A10" s="4" t="s">
        <v>173</v>
      </c>
      <c r="B10" s="4">
        <v>10</v>
      </c>
      <c r="C10" s="4" t="s">
        <v>77</v>
      </c>
      <c r="D10" s="4" t="s">
        <v>183</v>
      </c>
      <c r="E10" s="4" t="s">
        <v>290</v>
      </c>
      <c r="F10" s="4"/>
      <c r="G10" s="4"/>
      <c r="H10" s="4"/>
      <c r="I10" s="4" t="s">
        <v>303</v>
      </c>
      <c r="J10" s="17">
        <v>50</v>
      </c>
      <c r="K10" s="4" t="s">
        <v>279</v>
      </c>
      <c r="L10" s="4" t="s">
        <v>279</v>
      </c>
      <c r="M10" s="4" t="s">
        <v>304</v>
      </c>
    </row>
    <row r="11" spans="1:13" ht="27.6">
      <c r="A11" s="4" t="s">
        <v>173</v>
      </c>
      <c r="B11" s="4">
        <v>11</v>
      </c>
      <c r="C11" s="4" t="s">
        <v>79</v>
      </c>
      <c r="D11" s="4" t="s">
        <v>184</v>
      </c>
      <c r="E11" s="4" t="s">
        <v>297</v>
      </c>
      <c r="F11" s="4" t="s">
        <v>79</v>
      </c>
      <c r="G11" s="4" t="s">
        <v>305</v>
      </c>
      <c r="H11" s="4" t="s">
        <v>306</v>
      </c>
      <c r="I11" s="4" t="s">
        <v>297</v>
      </c>
      <c r="J11" s="17">
        <v>35</v>
      </c>
      <c r="K11" s="4" t="s">
        <v>279</v>
      </c>
      <c r="L11" s="4" t="s">
        <v>279</v>
      </c>
      <c r="M11" s="4" t="s">
        <v>307</v>
      </c>
    </row>
    <row r="12" spans="1:13">
      <c r="A12" s="4" t="s">
        <v>173</v>
      </c>
      <c r="B12" s="4">
        <v>12</v>
      </c>
      <c r="C12" s="4" t="s">
        <v>81</v>
      </c>
      <c r="D12" s="4" t="s">
        <v>185</v>
      </c>
      <c r="E12" s="4" t="s">
        <v>281</v>
      </c>
      <c r="F12" s="4" t="s">
        <v>81</v>
      </c>
      <c r="G12" s="4" t="s">
        <v>308</v>
      </c>
      <c r="H12" s="4"/>
      <c r="I12" s="4" t="s">
        <v>278</v>
      </c>
      <c r="J12" s="17">
        <v>35</v>
      </c>
      <c r="K12" s="4" t="s">
        <v>279</v>
      </c>
      <c r="L12" s="4" t="s">
        <v>279</v>
      </c>
      <c r="M12" s="4" t="s">
        <v>286</v>
      </c>
    </row>
    <row r="13" spans="1:13">
      <c r="A13" s="4" t="s">
        <v>173</v>
      </c>
      <c r="B13" s="4">
        <v>13</v>
      </c>
      <c r="C13" s="4" t="s">
        <v>83</v>
      </c>
      <c r="D13" s="4" t="s">
        <v>186</v>
      </c>
      <c r="E13" s="4" t="s">
        <v>281</v>
      </c>
      <c r="F13" s="4" t="s">
        <v>83</v>
      </c>
      <c r="G13" s="4" t="s">
        <v>309</v>
      </c>
      <c r="H13" s="4"/>
      <c r="I13" s="4" t="s">
        <v>310</v>
      </c>
      <c r="J13" s="17">
        <v>40</v>
      </c>
      <c r="K13" s="4" t="s">
        <v>311</v>
      </c>
      <c r="L13" s="4" t="s">
        <v>279</v>
      </c>
      <c r="M13" s="4" t="s">
        <v>312</v>
      </c>
    </row>
    <row r="14" spans="1:13">
      <c r="A14" s="4" t="s">
        <v>173</v>
      </c>
      <c r="B14" s="4">
        <v>14</v>
      </c>
      <c r="C14" s="4" t="s">
        <v>85</v>
      </c>
      <c r="D14" s="4" t="s">
        <v>187</v>
      </c>
      <c r="E14" s="4" t="s">
        <v>290</v>
      </c>
      <c r="F14" s="4"/>
      <c r="G14" s="4"/>
      <c r="H14" s="4"/>
      <c r="I14" s="4" t="s">
        <v>303</v>
      </c>
      <c r="J14" s="17">
        <v>50</v>
      </c>
      <c r="K14" s="4" t="s">
        <v>279</v>
      </c>
      <c r="L14" s="4" t="s">
        <v>279</v>
      </c>
      <c r="M14" s="4" t="s">
        <v>304</v>
      </c>
    </row>
    <row r="15" spans="1:13">
      <c r="A15" s="4" t="s">
        <v>173</v>
      </c>
      <c r="B15" s="4">
        <v>15</v>
      </c>
      <c r="C15" s="4" t="s">
        <v>87</v>
      </c>
      <c r="D15" s="4" t="s">
        <v>188</v>
      </c>
      <c r="E15" s="4" t="s">
        <v>281</v>
      </c>
      <c r="F15" s="4" t="s">
        <v>87</v>
      </c>
      <c r="G15" s="4" t="s">
        <v>313</v>
      </c>
      <c r="H15" s="4"/>
      <c r="I15" s="4" t="s">
        <v>314</v>
      </c>
      <c r="J15" s="17">
        <v>50</v>
      </c>
      <c r="K15" s="4" t="s">
        <v>292</v>
      </c>
      <c r="L15" s="4" t="s">
        <v>292</v>
      </c>
      <c r="M15" s="4" t="s">
        <v>315</v>
      </c>
    </row>
    <row r="16" spans="1:13">
      <c r="A16" s="4" t="s">
        <v>173</v>
      </c>
      <c r="B16" s="4">
        <v>16</v>
      </c>
      <c r="C16" s="4" t="s">
        <v>89</v>
      </c>
      <c r="D16" s="4" t="s">
        <v>189</v>
      </c>
      <c r="E16" s="4" t="s">
        <v>290</v>
      </c>
      <c r="F16" s="4"/>
      <c r="G16" s="4"/>
      <c r="H16" s="4"/>
      <c r="I16" s="4" t="s">
        <v>303</v>
      </c>
      <c r="J16" s="17">
        <v>50</v>
      </c>
      <c r="K16" s="4" t="s">
        <v>279</v>
      </c>
      <c r="L16" s="4" t="s">
        <v>279</v>
      </c>
      <c r="M16" s="4" t="s">
        <v>304</v>
      </c>
    </row>
    <row r="17" spans="1:13">
      <c r="A17" s="4" t="s">
        <v>173</v>
      </c>
      <c r="B17" s="4">
        <v>17</v>
      </c>
      <c r="C17" s="4" t="s">
        <v>91</v>
      </c>
      <c r="D17" s="4" t="s">
        <v>190</v>
      </c>
      <c r="E17" s="4" t="s">
        <v>290</v>
      </c>
      <c r="F17" s="4"/>
      <c r="G17" s="4"/>
      <c r="H17" s="4"/>
      <c r="I17" s="4" t="s">
        <v>303</v>
      </c>
      <c r="J17" s="17">
        <v>50</v>
      </c>
      <c r="K17" s="4" t="s">
        <v>279</v>
      </c>
      <c r="L17" s="4" t="s">
        <v>279</v>
      </c>
      <c r="M17" s="4" t="s">
        <v>304</v>
      </c>
    </row>
    <row r="18" spans="1:13">
      <c r="A18" s="4" t="s">
        <v>173</v>
      </c>
      <c r="B18" s="4">
        <v>18</v>
      </c>
      <c r="C18" s="4" t="s">
        <v>93</v>
      </c>
      <c r="D18" s="4" t="s">
        <v>191</v>
      </c>
      <c r="E18" s="4" t="s">
        <v>290</v>
      </c>
      <c r="F18" s="4"/>
      <c r="G18" s="4"/>
      <c r="H18" s="4"/>
      <c r="I18" s="4" t="s">
        <v>316</v>
      </c>
      <c r="J18" s="17">
        <v>60</v>
      </c>
      <c r="K18" s="4" t="s">
        <v>317</v>
      </c>
      <c r="L18" s="4" t="s">
        <v>279</v>
      </c>
      <c r="M18" s="4" t="s">
        <v>318</v>
      </c>
    </row>
    <row r="19" spans="1:13">
      <c r="A19" s="4" t="s">
        <v>173</v>
      </c>
      <c r="B19" s="4">
        <v>19</v>
      </c>
      <c r="C19" s="4" t="s">
        <v>95</v>
      </c>
      <c r="D19" s="4" t="s">
        <v>192</v>
      </c>
      <c r="E19" s="4" t="s">
        <v>290</v>
      </c>
      <c r="F19" s="4"/>
      <c r="G19" s="4"/>
      <c r="H19" s="4"/>
      <c r="I19" s="4" t="s">
        <v>278</v>
      </c>
      <c r="J19" s="17">
        <v>35</v>
      </c>
      <c r="K19" s="4" t="s">
        <v>279</v>
      </c>
      <c r="L19" s="4" t="s">
        <v>279</v>
      </c>
      <c r="M19" s="4" t="s">
        <v>286</v>
      </c>
    </row>
    <row r="20" spans="1:13">
      <c r="A20" s="4" t="s">
        <v>173</v>
      </c>
      <c r="B20" s="4">
        <v>20</v>
      </c>
      <c r="C20" s="4" t="s">
        <v>97</v>
      </c>
      <c r="D20" s="4" t="s">
        <v>193</v>
      </c>
      <c r="E20" s="4" t="s">
        <v>290</v>
      </c>
      <c r="F20" s="4"/>
      <c r="G20" s="4"/>
      <c r="H20" s="4"/>
      <c r="I20" s="4" t="s">
        <v>319</v>
      </c>
      <c r="J20" s="17">
        <v>60</v>
      </c>
      <c r="K20" s="4" t="s">
        <v>301</v>
      </c>
      <c r="L20" s="4" t="s">
        <v>279</v>
      </c>
      <c r="M20" s="4" t="s">
        <v>320</v>
      </c>
    </row>
    <row r="21" spans="1:13">
      <c r="A21" s="4" t="s">
        <v>173</v>
      </c>
      <c r="B21" s="4">
        <v>21</v>
      </c>
      <c r="C21" s="4" t="s">
        <v>99</v>
      </c>
      <c r="D21" s="4" t="s">
        <v>194</v>
      </c>
      <c r="E21" s="4" t="s">
        <v>290</v>
      </c>
      <c r="F21" s="4"/>
      <c r="G21" s="4"/>
      <c r="H21" s="4"/>
      <c r="I21" s="4" t="s">
        <v>303</v>
      </c>
      <c r="J21" s="17">
        <v>50</v>
      </c>
      <c r="K21" s="4" t="s">
        <v>279</v>
      </c>
      <c r="L21" s="4" t="s">
        <v>279</v>
      </c>
      <c r="M21" s="4" t="s">
        <v>304</v>
      </c>
    </row>
    <row r="22" spans="1:13">
      <c r="A22" s="4" t="s">
        <v>173</v>
      </c>
      <c r="B22" s="4">
        <v>22</v>
      </c>
      <c r="C22" s="4" t="s">
        <v>101</v>
      </c>
      <c r="D22" s="4" t="s">
        <v>195</v>
      </c>
      <c r="E22" s="4" t="s">
        <v>297</v>
      </c>
      <c r="F22" s="4" t="s">
        <v>101</v>
      </c>
      <c r="G22" s="4" t="s">
        <v>321</v>
      </c>
      <c r="H22" s="4" t="s">
        <v>322</v>
      </c>
      <c r="I22" s="4" t="s">
        <v>297</v>
      </c>
      <c r="J22" s="17">
        <v>119</v>
      </c>
      <c r="K22" s="4" t="s">
        <v>279</v>
      </c>
      <c r="L22" s="4" t="s">
        <v>279</v>
      </c>
      <c r="M22" s="4" t="s">
        <v>323</v>
      </c>
    </row>
    <row r="23" spans="1:13">
      <c r="A23" s="4" t="s">
        <v>173</v>
      </c>
      <c r="B23" s="4">
        <v>23</v>
      </c>
      <c r="C23" s="4" t="s">
        <v>103</v>
      </c>
      <c r="D23" s="4" t="s">
        <v>196</v>
      </c>
      <c r="E23" s="4" t="s">
        <v>281</v>
      </c>
      <c r="F23" s="4" t="s">
        <v>103</v>
      </c>
      <c r="G23" s="4" t="s">
        <v>324</v>
      </c>
      <c r="H23" s="4"/>
      <c r="I23" s="4" t="s">
        <v>325</v>
      </c>
      <c r="J23" s="17">
        <v>50</v>
      </c>
      <c r="K23" s="4" t="s">
        <v>326</v>
      </c>
      <c r="L23" s="4" t="s">
        <v>326</v>
      </c>
      <c r="M23" s="4" t="s">
        <v>327</v>
      </c>
    </row>
    <row r="24" spans="1:13">
      <c r="A24" s="4" t="s">
        <v>173</v>
      </c>
      <c r="B24" s="4">
        <v>24</v>
      </c>
      <c r="C24" s="4" t="s">
        <v>105</v>
      </c>
      <c r="D24" s="4" t="s">
        <v>197</v>
      </c>
      <c r="E24" s="4" t="s">
        <v>281</v>
      </c>
      <c r="F24" s="4" t="s">
        <v>105</v>
      </c>
      <c r="G24" s="4" t="s">
        <v>328</v>
      </c>
      <c r="H24" s="4"/>
      <c r="I24" s="4" t="s">
        <v>314</v>
      </c>
      <c r="J24" s="17">
        <v>50</v>
      </c>
      <c r="K24" s="4" t="s">
        <v>292</v>
      </c>
      <c r="L24" s="4" t="s">
        <v>292</v>
      </c>
      <c r="M24" s="4" t="s">
        <v>315</v>
      </c>
    </row>
    <row r="25" spans="1:13">
      <c r="A25" s="4" t="s">
        <v>173</v>
      </c>
      <c r="B25" s="4">
        <v>25</v>
      </c>
      <c r="C25" s="4" t="s">
        <v>107</v>
      </c>
      <c r="D25" s="4" t="s">
        <v>198</v>
      </c>
      <c r="E25" s="4" t="s">
        <v>290</v>
      </c>
      <c r="F25" s="4"/>
      <c r="G25" s="4"/>
      <c r="H25" s="4"/>
      <c r="I25" s="4" t="s">
        <v>303</v>
      </c>
      <c r="J25" s="17">
        <v>50</v>
      </c>
      <c r="K25" s="4" t="s">
        <v>279</v>
      </c>
      <c r="L25" s="4" t="s">
        <v>279</v>
      </c>
      <c r="M25" s="4" t="s">
        <v>304</v>
      </c>
    </row>
    <row r="26" spans="1:13">
      <c r="A26" s="4" t="s">
        <v>173</v>
      </c>
      <c r="B26" s="4">
        <v>26</v>
      </c>
      <c r="C26" s="4" t="s">
        <v>109</v>
      </c>
      <c r="D26" s="4" t="s">
        <v>199</v>
      </c>
      <c r="E26" s="4" t="s">
        <v>290</v>
      </c>
      <c r="F26" s="4"/>
      <c r="G26" s="4"/>
      <c r="H26" s="4"/>
      <c r="I26" s="4" t="s">
        <v>303</v>
      </c>
      <c r="J26" s="17">
        <v>50</v>
      </c>
      <c r="K26" s="4" t="s">
        <v>279</v>
      </c>
      <c r="L26" s="4" t="s">
        <v>279</v>
      </c>
      <c r="M26" s="4" t="s">
        <v>304</v>
      </c>
    </row>
    <row r="27" spans="1:13" ht="27.6">
      <c r="A27" s="4" t="s">
        <v>173</v>
      </c>
      <c r="B27" s="4">
        <v>27</v>
      </c>
      <c r="C27" s="4" t="s">
        <v>111</v>
      </c>
      <c r="D27" s="4" t="s">
        <v>200</v>
      </c>
      <c r="E27" s="4" t="s">
        <v>275</v>
      </c>
      <c r="F27" s="4" t="s">
        <v>329</v>
      </c>
      <c r="G27" s="4" t="s">
        <v>330</v>
      </c>
      <c r="H27" s="4"/>
      <c r="I27" s="4" t="s">
        <v>303</v>
      </c>
      <c r="J27" s="17">
        <v>50</v>
      </c>
      <c r="K27" s="4" t="s">
        <v>279</v>
      </c>
      <c r="L27" s="4" t="s">
        <v>279</v>
      </c>
      <c r="M27" s="4" t="s">
        <v>304</v>
      </c>
    </row>
    <row r="28" spans="1:13">
      <c r="A28" s="4" t="s">
        <v>173</v>
      </c>
      <c r="B28" s="4">
        <v>28</v>
      </c>
      <c r="C28" s="4" t="s">
        <v>113</v>
      </c>
      <c r="D28" s="4" t="s">
        <v>201</v>
      </c>
      <c r="E28" s="4" t="s">
        <v>281</v>
      </c>
      <c r="F28" s="4" t="s">
        <v>113</v>
      </c>
      <c r="G28" s="4" t="s">
        <v>331</v>
      </c>
      <c r="H28" s="4"/>
      <c r="I28" s="4" t="s">
        <v>278</v>
      </c>
      <c r="J28" s="17">
        <v>100</v>
      </c>
      <c r="K28" s="4" t="s">
        <v>279</v>
      </c>
      <c r="L28" s="4" t="s">
        <v>279</v>
      </c>
      <c r="M28" s="4" t="s">
        <v>332</v>
      </c>
    </row>
    <row r="29" spans="1:13" ht="27.6">
      <c r="A29" s="4" t="s">
        <v>173</v>
      </c>
      <c r="B29" s="4">
        <v>29</v>
      </c>
      <c r="C29" s="4" t="s">
        <v>115</v>
      </c>
      <c r="D29" s="4" t="s">
        <v>202</v>
      </c>
      <c r="E29" s="4" t="s">
        <v>275</v>
      </c>
      <c r="F29" s="4" t="s">
        <v>333</v>
      </c>
      <c r="G29" s="4" t="s">
        <v>334</v>
      </c>
      <c r="H29" s="4"/>
      <c r="I29" s="4" t="s">
        <v>325</v>
      </c>
      <c r="J29" s="17">
        <v>50</v>
      </c>
      <c r="K29" s="4" t="s">
        <v>326</v>
      </c>
      <c r="L29" s="4" t="s">
        <v>326</v>
      </c>
      <c r="M29" s="4" t="s">
        <v>335</v>
      </c>
    </row>
    <row r="30" spans="1:13">
      <c r="A30" s="4" t="s">
        <v>173</v>
      </c>
      <c r="B30" s="4">
        <v>30</v>
      </c>
      <c r="C30" s="4" t="s">
        <v>117</v>
      </c>
      <c r="D30" s="4" t="s">
        <v>203</v>
      </c>
      <c r="E30" s="4" t="s">
        <v>290</v>
      </c>
      <c r="F30" s="4"/>
      <c r="G30" s="4"/>
      <c r="H30" s="4"/>
      <c r="I30" s="4" t="s">
        <v>325</v>
      </c>
      <c r="J30" s="17">
        <v>50</v>
      </c>
      <c r="K30" s="4" t="s">
        <v>326</v>
      </c>
      <c r="L30" s="4" t="s">
        <v>326</v>
      </c>
      <c r="M30" s="4" t="s">
        <v>335</v>
      </c>
    </row>
    <row r="31" spans="1:13">
      <c r="A31" s="4" t="s">
        <v>173</v>
      </c>
      <c r="B31" s="4">
        <v>31</v>
      </c>
      <c r="C31" s="4" t="s">
        <v>119</v>
      </c>
      <c r="D31" s="4" t="s">
        <v>204</v>
      </c>
      <c r="E31" s="4" t="s">
        <v>290</v>
      </c>
      <c r="F31" s="4"/>
      <c r="G31" s="4"/>
      <c r="H31" s="4"/>
      <c r="I31" s="4" t="s">
        <v>303</v>
      </c>
      <c r="J31" s="17">
        <v>50</v>
      </c>
      <c r="K31" s="4" t="s">
        <v>279</v>
      </c>
      <c r="L31" s="4" t="s">
        <v>279</v>
      </c>
      <c r="M31" s="4" t="s">
        <v>304</v>
      </c>
    </row>
    <row r="32" spans="1:13" ht="27.6">
      <c r="A32" s="4" t="s">
        <v>173</v>
      </c>
      <c r="B32" s="4">
        <v>32</v>
      </c>
      <c r="C32" s="4" t="s">
        <v>121</v>
      </c>
      <c r="D32" s="4" t="s">
        <v>205</v>
      </c>
      <c r="E32" s="4" t="s">
        <v>275</v>
      </c>
      <c r="F32" s="4" t="s">
        <v>336</v>
      </c>
      <c r="G32" s="4" t="s">
        <v>337</v>
      </c>
      <c r="H32" s="4"/>
      <c r="I32" s="4" t="s">
        <v>278</v>
      </c>
      <c r="J32" s="17">
        <v>50</v>
      </c>
      <c r="K32" s="4" t="s">
        <v>279</v>
      </c>
      <c r="L32" s="4" t="s">
        <v>279</v>
      </c>
      <c r="M32" s="4" t="s">
        <v>338</v>
      </c>
    </row>
    <row r="33" spans="1:13">
      <c r="A33" s="4" t="s">
        <v>173</v>
      </c>
      <c r="B33" s="4">
        <v>33</v>
      </c>
      <c r="C33" s="4" t="s">
        <v>123</v>
      </c>
      <c r="D33" s="4" t="s">
        <v>206</v>
      </c>
      <c r="E33" s="4" t="s">
        <v>281</v>
      </c>
      <c r="F33" s="4" t="s">
        <v>123</v>
      </c>
      <c r="G33" s="4" t="s">
        <v>339</v>
      </c>
      <c r="H33" s="4"/>
      <c r="I33" s="4" t="s">
        <v>314</v>
      </c>
      <c r="J33" s="17">
        <v>50</v>
      </c>
      <c r="K33" s="4" t="s">
        <v>292</v>
      </c>
      <c r="L33" s="4" t="s">
        <v>292</v>
      </c>
      <c r="M33" s="4" t="s">
        <v>340</v>
      </c>
    </row>
    <row r="34" spans="1:13">
      <c r="A34" s="4" t="s">
        <v>173</v>
      </c>
      <c r="B34" s="4">
        <v>34</v>
      </c>
      <c r="C34" s="4" t="s">
        <v>125</v>
      </c>
      <c r="D34" s="4" t="s">
        <v>207</v>
      </c>
      <c r="E34" s="4" t="s">
        <v>290</v>
      </c>
      <c r="F34" s="4"/>
      <c r="G34" s="4"/>
      <c r="H34" s="4"/>
      <c r="I34" s="4" t="s">
        <v>303</v>
      </c>
      <c r="J34" s="17">
        <v>50</v>
      </c>
      <c r="K34" s="4" t="s">
        <v>279</v>
      </c>
      <c r="L34" s="4" t="s">
        <v>279</v>
      </c>
      <c r="M34" s="4" t="s">
        <v>304</v>
      </c>
    </row>
    <row r="35" spans="1:13">
      <c r="A35" s="4" t="s">
        <v>173</v>
      </c>
      <c r="B35" s="4">
        <v>35</v>
      </c>
      <c r="C35" s="4" t="s">
        <v>127</v>
      </c>
      <c r="D35" s="4" t="s">
        <v>208</v>
      </c>
      <c r="E35" s="4" t="s">
        <v>281</v>
      </c>
      <c r="F35" s="4" t="s">
        <v>127</v>
      </c>
      <c r="G35" s="4" t="s">
        <v>341</v>
      </c>
      <c r="H35" s="4"/>
      <c r="I35" s="4" t="s">
        <v>303</v>
      </c>
      <c r="J35" s="17">
        <v>50</v>
      </c>
      <c r="K35" s="4" t="s">
        <v>279</v>
      </c>
      <c r="L35" s="4" t="s">
        <v>279</v>
      </c>
      <c r="M35" s="4" t="s">
        <v>304</v>
      </c>
    </row>
    <row r="36" spans="1:13">
      <c r="A36" s="4" t="s">
        <v>173</v>
      </c>
      <c r="B36" s="4">
        <v>36</v>
      </c>
      <c r="C36" s="4" t="s">
        <v>129</v>
      </c>
      <c r="D36" s="4" t="s">
        <v>209</v>
      </c>
      <c r="E36" s="4" t="s">
        <v>290</v>
      </c>
      <c r="F36" s="4"/>
      <c r="G36" s="4"/>
      <c r="H36" s="4"/>
      <c r="I36" s="4" t="s">
        <v>303</v>
      </c>
      <c r="J36" s="17">
        <v>50</v>
      </c>
      <c r="K36" s="4" t="s">
        <v>279</v>
      </c>
      <c r="L36" s="4" t="s">
        <v>279</v>
      </c>
      <c r="M36" s="4" t="s">
        <v>304</v>
      </c>
    </row>
    <row r="37" spans="1:13">
      <c r="A37" s="4" t="s">
        <v>173</v>
      </c>
      <c r="B37" s="4">
        <v>37</v>
      </c>
      <c r="C37" s="4" t="s">
        <v>131</v>
      </c>
      <c r="D37" s="4" t="s">
        <v>210</v>
      </c>
      <c r="E37" s="4" t="s">
        <v>290</v>
      </c>
      <c r="F37" s="4"/>
      <c r="G37" s="4"/>
      <c r="H37" s="4"/>
      <c r="I37" s="4" t="s">
        <v>303</v>
      </c>
      <c r="J37" s="17">
        <v>50</v>
      </c>
      <c r="K37" s="4" t="s">
        <v>279</v>
      </c>
      <c r="L37" s="4" t="s">
        <v>279</v>
      </c>
      <c r="M37" s="4" t="s">
        <v>304</v>
      </c>
    </row>
    <row r="38" spans="1:13" ht="27.6">
      <c r="A38" s="4" t="s">
        <v>173</v>
      </c>
      <c r="B38" s="4">
        <v>38</v>
      </c>
      <c r="C38" s="4" t="s">
        <v>133</v>
      </c>
      <c r="D38" s="4" t="s">
        <v>211</v>
      </c>
      <c r="E38" s="4" t="s">
        <v>342</v>
      </c>
      <c r="F38" s="4" t="s">
        <v>343</v>
      </c>
      <c r="G38" s="4"/>
      <c r="H38" s="4"/>
      <c r="I38" s="4" t="s">
        <v>303</v>
      </c>
      <c r="J38" s="17">
        <v>50</v>
      </c>
      <c r="K38" s="4" t="s">
        <v>279</v>
      </c>
      <c r="L38" s="4" t="s">
        <v>279</v>
      </c>
      <c r="M38" s="4" t="s">
        <v>304</v>
      </c>
    </row>
    <row r="39" spans="1:13">
      <c r="A39" s="4" t="s">
        <v>173</v>
      </c>
      <c r="B39" s="4">
        <v>39</v>
      </c>
      <c r="C39" s="4" t="s">
        <v>135</v>
      </c>
      <c r="D39" s="4" t="s">
        <v>212</v>
      </c>
      <c r="E39" s="4" t="s">
        <v>290</v>
      </c>
      <c r="F39" s="4"/>
      <c r="G39" s="4"/>
      <c r="H39" s="4"/>
      <c r="I39" s="4" t="s">
        <v>303</v>
      </c>
      <c r="J39" s="17">
        <v>50</v>
      </c>
      <c r="K39" s="4" t="s">
        <v>279</v>
      </c>
      <c r="L39" s="4" t="s">
        <v>279</v>
      </c>
      <c r="M39" s="4" t="s">
        <v>304</v>
      </c>
    </row>
    <row r="40" spans="1:13">
      <c r="A40" s="4" t="s">
        <v>173</v>
      </c>
      <c r="B40" s="4">
        <v>40</v>
      </c>
      <c r="C40" s="4" t="s">
        <v>137</v>
      </c>
      <c r="D40" s="4" t="s">
        <v>213</v>
      </c>
      <c r="E40" s="4" t="s">
        <v>281</v>
      </c>
      <c r="F40" s="4" t="s">
        <v>137</v>
      </c>
      <c r="G40" s="4" t="s">
        <v>344</v>
      </c>
      <c r="H40" s="4"/>
      <c r="I40" s="4" t="s">
        <v>278</v>
      </c>
      <c r="J40" s="17">
        <v>50</v>
      </c>
      <c r="K40" s="4" t="s">
        <v>279</v>
      </c>
      <c r="L40" s="4" t="s">
        <v>279</v>
      </c>
      <c r="M40" s="4" t="s">
        <v>345</v>
      </c>
    </row>
    <row r="41" spans="1:13">
      <c r="A41" s="4" t="s">
        <v>173</v>
      </c>
      <c r="B41" s="4">
        <v>41</v>
      </c>
      <c r="C41" s="4" t="s">
        <v>139</v>
      </c>
      <c r="D41" s="4" t="s">
        <v>214</v>
      </c>
      <c r="E41" s="4" t="s">
        <v>290</v>
      </c>
      <c r="F41" s="4"/>
      <c r="G41" s="4"/>
      <c r="H41" s="4"/>
      <c r="I41" s="4" t="s">
        <v>303</v>
      </c>
      <c r="J41" s="17">
        <v>50</v>
      </c>
      <c r="K41" s="4" t="s">
        <v>279</v>
      </c>
      <c r="L41" s="4" t="s">
        <v>279</v>
      </c>
      <c r="M41" s="4" t="s">
        <v>304</v>
      </c>
    </row>
    <row r="42" spans="1:13">
      <c r="A42" s="4" t="s">
        <v>173</v>
      </c>
      <c r="B42" s="4">
        <v>42</v>
      </c>
      <c r="C42" s="4" t="s">
        <v>141</v>
      </c>
      <c r="D42" s="4" t="s">
        <v>215</v>
      </c>
      <c r="E42" s="4" t="s">
        <v>281</v>
      </c>
      <c r="F42" s="4" t="s">
        <v>141</v>
      </c>
      <c r="G42" s="4" t="s">
        <v>346</v>
      </c>
      <c r="H42" s="4"/>
      <c r="I42" s="4" t="s">
        <v>314</v>
      </c>
      <c r="J42" s="17">
        <v>60</v>
      </c>
      <c r="K42" s="4" t="s">
        <v>292</v>
      </c>
      <c r="L42" s="4" t="s">
        <v>292</v>
      </c>
      <c r="M42" s="4" t="s">
        <v>347</v>
      </c>
    </row>
    <row r="43" spans="1:13">
      <c r="A43" s="4" t="s">
        <v>173</v>
      </c>
      <c r="B43" s="4">
        <v>43</v>
      </c>
      <c r="C43" s="4" t="s">
        <v>143</v>
      </c>
      <c r="D43" s="4" t="s">
        <v>216</v>
      </c>
      <c r="E43" s="4" t="s">
        <v>281</v>
      </c>
      <c r="F43" s="4" t="s">
        <v>143</v>
      </c>
      <c r="G43" s="4" t="s">
        <v>348</v>
      </c>
      <c r="H43" s="4"/>
      <c r="I43" s="4" t="s">
        <v>314</v>
      </c>
      <c r="J43" s="17">
        <v>70</v>
      </c>
      <c r="K43" s="4" t="s">
        <v>292</v>
      </c>
      <c r="L43" s="4" t="s">
        <v>292</v>
      </c>
      <c r="M43" s="4" t="s">
        <v>349</v>
      </c>
    </row>
    <row r="44" spans="1:13">
      <c r="A44" s="4" t="s">
        <v>173</v>
      </c>
      <c r="B44" s="4">
        <v>44</v>
      </c>
      <c r="C44" s="4" t="s">
        <v>145</v>
      </c>
      <c r="D44" s="4" t="s">
        <v>217</v>
      </c>
      <c r="E44" s="4" t="s">
        <v>290</v>
      </c>
      <c r="F44" s="4"/>
      <c r="G44" s="4"/>
      <c r="H44" s="4"/>
      <c r="I44" s="4" t="s">
        <v>303</v>
      </c>
      <c r="J44" s="17">
        <v>50</v>
      </c>
      <c r="K44" s="4" t="s">
        <v>279</v>
      </c>
      <c r="L44" s="4" t="s">
        <v>279</v>
      </c>
      <c r="M44" s="4" t="s">
        <v>304</v>
      </c>
    </row>
    <row r="45" spans="1:13">
      <c r="A45" s="4" t="s">
        <v>173</v>
      </c>
      <c r="B45" s="4">
        <v>45</v>
      </c>
      <c r="C45" s="4" t="s">
        <v>147</v>
      </c>
      <c r="D45" s="4" t="s">
        <v>218</v>
      </c>
      <c r="E45" s="4" t="s">
        <v>290</v>
      </c>
      <c r="F45" s="4"/>
      <c r="G45" s="4"/>
      <c r="H45" s="4"/>
      <c r="I45" s="4" t="s">
        <v>350</v>
      </c>
      <c r="J45" s="17">
        <v>85</v>
      </c>
      <c r="K45" s="4" t="s">
        <v>279</v>
      </c>
      <c r="L45" s="4" t="s">
        <v>326</v>
      </c>
      <c r="M45" s="4" t="s">
        <v>351</v>
      </c>
    </row>
    <row r="46" spans="1:13">
      <c r="A46" s="4" t="s">
        <v>173</v>
      </c>
      <c r="B46" s="4">
        <v>46</v>
      </c>
      <c r="C46" s="4" t="s">
        <v>149</v>
      </c>
      <c r="D46" s="4" t="s">
        <v>219</v>
      </c>
      <c r="E46" s="4" t="s">
        <v>281</v>
      </c>
      <c r="F46" s="4" t="s">
        <v>149</v>
      </c>
      <c r="G46" s="4" t="s">
        <v>352</v>
      </c>
      <c r="H46" s="4"/>
      <c r="I46" s="4" t="s">
        <v>278</v>
      </c>
      <c r="J46" s="17">
        <v>55</v>
      </c>
      <c r="K46" s="4" t="s">
        <v>279</v>
      </c>
      <c r="L46" s="4" t="s">
        <v>279</v>
      </c>
      <c r="M46" s="4" t="s">
        <v>353</v>
      </c>
    </row>
    <row r="47" spans="1:13" ht="27.6">
      <c r="A47" s="4" t="s">
        <v>173</v>
      </c>
      <c r="B47" s="4">
        <v>47</v>
      </c>
      <c r="C47" s="4" t="s">
        <v>151</v>
      </c>
      <c r="D47" s="4" t="s">
        <v>220</v>
      </c>
      <c r="E47" s="4" t="s">
        <v>342</v>
      </c>
      <c r="F47" s="4" t="s">
        <v>354</v>
      </c>
      <c r="G47" s="4"/>
      <c r="H47" s="4"/>
      <c r="I47" s="4" t="s">
        <v>310</v>
      </c>
      <c r="J47" s="17">
        <v>50</v>
      </c>
      <c r="K47" s="4" t="s">
        <v>311</v>
      </c>
      <c r="L47" s="4" t="s">
        <v>279</v>
      </c>
      <c r="M47" s="4" t="s">
        <v>355</v>
      </c>
    </row>
    <row r="48" spans="1:13">
      <c r="A48" s="4" t="s">
        <v>221</v>
      </c>
      <c r="B48" s="4">
        <v>2</v>
      </c>
      <c r="C48" s="4" t="s">
        <v>62</v>
      </c>
      <c r="D48" s="4" t="s">
        <v>222</v>
      </c>
      <c r="E48" s="4" t="s">
        <v>290</v>
      </c>
      <c r="F48" s="4"/>
      <c r="G48" s="4"/>
      <c r="H48" s="4"/>
      <c r="I48" s="4" t="s">
        <v>303</v>
      </c>
      <c r="J48" s="17">
        <v>50</v>
      </c>
      <c r="K48" s="4" t="s">
        <v>279</v>
      </c>
      <c r="L48" s="4" t="s">
        <v>279</v>
      </c>
      <c r="M48" s="4" t="s">
        <v>304</v>
      </c>
    </row>
    <row r="49" spans="1:13">
      <c r="A49" s="4" t="s">
        <v>221</v>
      </c>
      <c r="B49" s="4">
        <v>3</v>
      </c>
      <c r="C49" s="4" t="s">
        <v>64</v>
      </c>
      <c r="D49" s="4" t="s">
        <v>223</v>
      </c>
      <c r="E49" s="4" t="s">
        <v>290</v>
      </c>
      <c r="F49" s="4"/>
      <c r="G49" s="4"/>
      <c r="H49" s="4"/>
      <c r="I49" s="4" t="s">
        <v>303</v>
      </c>
      <c r="J49" s="17">
        <v>50</v>
      </c>
      <c r="K49" s="4" t="s">
        <v>279</v>
      </c>
      <c r="L49" s="4" t="s">
        <v>279</v>
      </c>
      <c r="M49" s="4" t="s">
        <v>304</v>
      </c>
    </row>
    <row r="50" spans="1:13">
      <c r="A50" s="4" t="s">
        <v>221</v>
      </c>
      <c r="B50" s="4">
        <v>4</v>
      </c>
      <c r="C50" s="4" t="s">
        <v>66</v>
      </c>
      <c r="D50" s="4" t="s">
        <v>224</v>
      </c>
      <c r="E50" s="4" t="s">
        <v>290</v>
      </c>
      <c r="F50" s="4"/>
      <c r="G50" s="4"/>
      <c r="H50" s="4"/>
      <c r="I50" s="4" t="s">
        <v>303</v>
      </c>
      <c r="J50" s="17">
        <v>50</v>
      </c>
      <c r="K50" s="4" t="s">
        <v>279</v>
      </c>
      <c r="L50" s="4" t="s">
        <v>279</v>
      </c>
      <c r="M50" s="4" t="s">
        <v>304</v>
      </c>
    </row>
    <row r="51" spans="1:13">
      <c r="A51" s="4" t="s">
        <v>221</v>
      </c>
      <c r="B51" s="4">
        <v>5</v>
      </c>
      <c r="C51" s="4" t="s">
        <v>68</v>
      </c>
      <c r="D51" s="4" t="s">
        <v>225</v>
      </c>
      <c r="E51" s="4" t="s">
        <v>290</v>
      </c>
      <c r="F51" s="4"/>
      <c r="G51" s="4"/>
      <c r="H51" s="4"/>
      <c r="I51" s="4" t="s">
        <v>310</v>
      </c>
      <c r="J51" s="17">
        <v>45</v>
      </c>
      <c r="K51" s="4" t="s">
        <v>311</v>
      </c>
      <c r="L51" s="4" t="s">
        <v>279</v>
      </c>
      <c r="M51" s="4" t="s">
        <v>356</v>
      </c>
    </row>
    <row r="52" spans="1:13">
      <c r="A52" s="4" t="s">
        <v>221</v>
      </c>
      <c r="B52" s="4">
        <v>6</v>
      </c>
      <c r="C52" s="4" t="s">
        <v>70</v>
      </c>
      <c r="D52" s="4" t="s">
        <v>226</v>
      </c>
      <c r="E52" s="4" t="s">
        <v>281</v>
      </c>
      <c r="F52" s="4" t="s">
        <v>70</v>
      </c>
      <c r="G52" s="4" t="s">
        <v>357</v>
      </c>
      <c r="H52" s="4"/>
      <c r="I52" s="4" t="s">
        <v>303</v>
      </c>
      <c r="J52" s="17">
        <v>50</v>
      </c>
      <c r="K52" s="4" t="s">
        <v>279</v>
      </c>
      <c r="L52" s="4" t="s">
        <v>279</v>
      </c>
      <c r="M52" s="4" t="s">
        <v>304</v>
      </c>
    </row>
    <row r="53" spans="1:13">
      <c r="A53" s="4" t="s">
        <v>221</v>
      </c>
      <c r="B53" s="4">
        <v>7</v>
      </c>
      <c r="C53" s="4" t="s">
        <v>72</v>
      </c>
      <c r="D53" s="4" t="s">
        <v>227</v>
      </c>
      <c r="E53" s="4" t="s">
        <v>281</v>
      </c>
      <c r="F53" s="4" t="s">
        <v>72</v>
      </c>
      <c r="G53" s="4" t="s">
        <v>358</v>
      </c>
      <c r="H53" s="4"/>
      <c r="I53" s="4" t="s">
        <v>359</v>
      </c>
      <c r="J53" s="17">
        <v>55</v>
      </c>
      <c r="K53" s="4" t="s">
        <v>292</v>
      </c>
      <c r="L53" s="4" t="s">
        <v>292</v>
      </c>
      <c r="M53" s="4" t="s">
        <v>360</v>
      </c>
    </row>
    <row r="54" spans="1:13">
      <c r="A54" s="4" t="s">
        <v>221</v>
      </c>
      <c r="B54" s="4">
        <v>8</v>
      </c>
      <c r="C54" s="4" t="s">
        <v>74</v>
      </c>
      <c r="D54" s="4" t="s">
        <v>228</v>
      </c>
      <c r="E54" s="4" t="s">
        <v>290</v>
      </c>
      <c r="F54" s="4"/>
      <c r="G54" s="4"/>
      <c r="H54" s="4"/>
      <c r="I54" s="4" t="s">
        <v>359</v>
      </c>
      <c r="J54" s="17">
        <v>55</v>
      </c>
      <c r="K54" s="4" t="s">
        <v>292</v>
      </c>
      <c r="L54" s="4" t="s">
        <v>292</v>
      </c>
      <c r="M54" s="4" t="s">
        <v>360</v>
      </c>
    </row>
    <row r="55" spans="1:13">
      <c r="A55" s="4" t="s">
        <v>221</v>
      </c>
      <c r="B55" s="4">
        <v>9</v>
      </c>
      <c r="C55" s="4" t="s">
        <v>76</v>
      </c>
      <c r="D55" s="4" t="s">
        <v>229</v>
      </c>
      <c r="E55" s="4" t="s">
        <v>281</v>
      </c>
      <c r="F55" s="4" t="s">
        <v>76</v>
      </c>
      <c r="G55" s="4" t="s">
        <v>361</v>
      </c>
      <c r="H55" s="4"/>
      <c r="I55" s="4" t="s">
        <v>314</v>
      </c>
      <c r="J55" s="17">
        <v>50</v>
      </c>
      <c r="K55" s="4" t="s">
        <v>292</v>
      </c>
      <c r="L55" s="4" t="s">
        <v>292</v>
      </c>
      <c r="M55" s="4" t="s">
        <v>362</v>
      </c>
    </row>
    <row r="56" spans="1:13">
      <c r="A56" s="4" t="s">
        <v>221</v>
      </c>
      <c r="B56" s="4">
        <v>10</v>
      </c>
      <c r="C56" s="4" t="s">
        <v>78</v>
      </c>
      <c r="D56" s="4" t="s">
        <v>230</v>
      </c>
      <c r="E56" s="4" t="s">
        <v>290</v>
      </c>
      <c r="F56" s="4"/>
      <c r="G56" s="4"/>
      <c r="H56" s="4"/>
      <c r="I56" s="4" t="s">
        <v>303</v>
      </c>
      <c r="J56" s="17">
        <v>50</v>
      </c>
      <c r="K56" s="4" t="s">
        <v>279</v>
      </c>
      <c r="L56" s="4" t="s">
        <v>279</v>
      </c>
      <c r="M56" s="4" t="s">
        <v>304</v>
      </c>
    </row>
    <row r="57" spans="1:13">
      <c r="A57" s="4" t="s">
        <v>221</v>
      </c>
      <c r="B57" s="4">
        <v>11</v>
      </c>
      <c r="C57" s="4" t="s">
        <v>80</v>
      </c>
      <c r="D57" s="4" t="s">
        <v>231</v>
      </c>
      <c r="E57" s="4" t="s">
        <v>290</v>
      </c>
      <c r="F57" s="4"/>
      <c r="G57" s="4"/>
      <c r="H57" s="4"/>
      <c r="I57" s="4" t="s">
        <v>303</v>
      </c>
      <c r="J57" s="17">
        <v>50</v>
      </c>
      <c r="K57" s="4" t="s">
        <v>279</v>
      </c>
      <c r="L57" s="4" t="s">
        <v>279</v>
      </c>
      <c r="M57" s="4" t="s">
        <v>304</v>
      </c>
    </row>
    <row r="58" spans="1:13" ht="27.6">
      <c r="A58" s="4" t="s">
        <v>221</v>
      </c>
      <c r="B58" s="4">
        <v>12</v>
      </c>
      <c r="C58" s="4" t="s">
        <v>82</v>
      </c>
      <c r="D58" s="4" t="s">
        <v>232</v>
      </c>
      <c r="E58" s="4" t="s">
        <v>297</v>
      </c>
      <c r="F58" s="4"/>
      <c r="G58" s="4"/>
      <c r="H58" s="4" t="s">
        <v>363</v>
      </c>
      <c r="I58" s="4" t="s">
        <v>297</v>
      </c>
      <c r="J58" s="17">
        <v>50</v>
      </c>
      <c r="K58" s="4" t="s">
        <v>279</v>
      </c>
      <c r="L58" s="4" t="s">
        <v>279</v>
      </c>
      <c r="M58" s="4" t="s">
        <v>364</v>
      </c>
    </row>
    <row r="59" spans="1:13" ht="27.6">
      <c r="A59" s="4" t="s">
        <v>221</v>
      </c>
      <c r="B59" s="4">
        <v>13</v>
      </c>
      <c r="C59" s="4" t="s">
        <v>84</v>
      </c>
      <c r="D59" s="4" t="s">
        <v>233</v>
      </c>
      <c r="E59" s="4" t="s">
        <v>342</v>
      </c>
      <c r="F59" s="4" t="s">
        <v>365</v>
      </c>
      <c r="G59" s="4"/>
      <c r="H59" s="4"/>
      <c r="I59" s="4" t="s">
        <v>366</v>
      </c>
      <c r="J59" s="17">
        <v>50</v>
      </c>
      <c r="K59" s="4" t="s">
        <v>311</v>
      </c>
      <c r="L59" s="4" t="s">
        <v>367</v>
      </c>
      <c r="M59" s="4" t="s">
        <v>368</v>
      </c>
    </row>
    <row r="60" spans="1:13">
      <c r="A60" s="4" t="s">
        <v>221</v>
      </c>
      <c r="B60" s="4">
        <v>14</v>
      </c>
      <c r="C60" s="4" t="s">
        <v>86</v>
      </c>
      <c r="D60" s="4" t="s">
        <v>234</v>
      </c>
      <c r="E60" s="4" t="s">
        <v>290</v>
      </c>
      <c r="F60" s="4"/>
      <c r="G60" s="4"/>
      <c r="H60" s="4"/>
      <c r="I60" s="4" t="s">
        <v>303</v>
      </c>
      <c r="J60" s="17">
        <v>50</v>
      </c>
      <c r="K60" s="4" t="s">
        <v>279</v>
      </c>
      <c r="L60" s="4" t="s">
        <v>279</v>
      </c>
      <c r="M60" s="4" t="s">
        <v>304</v>
      </c>
    </row>
    <row r="61" spans="1:13">
      <c r="A61" s="4" t="s">
        <v>221</v>
      </c>
      <c r="B61" s="4">
        <v>15</v>
      </c>
      <c r="C61" s="4" t="s">
        <v>88</v>
      </c>
      <c r="D61" s="4" t="s">
        <v>235</v>
      </c>
      <c r="E61" s="4" t="s">
        <v>290</v>
      </c>
      <c r="F61" s="4"/>
      <c r="G61" s="4"/>
      <c r="H61" s="4"/>
      <c r="I61" s="4" t="s">
        <v>303</v>
      </c>
      <c r="J61" s="17">
        <v>50</v>
      </c>
      <c r="K61" s="4" t="s">
        <v>279</v>
      </c>
      <c r="L61" s="4" t="s">
        <v>279</v>
      </c>
      <c r="M61" s="4" t="s">
        <v>304</v>
      </c>
    </row>
    <row r="62" spans="1:13">
      <c r="A62" s="4" t="s">
        <v>221</v>
      </c>
      <c r="B62" s="4">
        <v>16</v>
      </c>
      <c r="C62" s="4" t="s">
        <v>90</v>
      </c>
      <c r="D62" s="4" t="s">
        <v>236</v>
      </c>
      <c r="E62" s="4" t="s">
        <v>290</v>
      </c>
      <c r="F62" s="4"/>
      <c r="G62" s="4"/>
      <c r="H62" s="4"/>
      <c r="I62" s="4" t="s">
        <v>303</v>
      </c>
      <c r="J62" s="17">
        <v>50</v>
      </c>
      <c r="K62" s="4" t="s">
        <v>279</v>
      </c>
      <c r="L62" s="4" t="s">
        <v>279</v>
      </c>
      <c r="M62" s="4" t="s">
        <v>304</v>
      </c>
    </row>
    <row r="63" spans="1:13">
      <c r="A63" s="4" t="s">
        <v>221</v>
      </c>
      <c r="B63" s="4">
        <v>17</v>
      </c>
      <c r="C63" s="4" t="s">
        <v>92</v>
      </c>
      <c r="D63" s="4" t="s">
        <v>237</v>
      </c>
      <c r="E63" s="4" t="s">
        <v>290</v>
      </c>
      <c r="F63" s="4"/>
      <c r="G63" s="4"/>
      <c r="H63" s="4"/>
      <c r="I63" s="4" t="s">
        <v>278</v>
      </c>
      <c r="J63" s="17">
        <v>50</v>
      </c>
      <c r="K63" s="4" t="s">
        <v>279</v>
      </c>
      <c r="L63" s="4" t="s">
        <v>279</v>
      </c>
      <c r="M63" s="4" t="s">
        <v>369</v>
      </c>
    </row>
    <row r="64" spans="1:13" ht="27.6">
      <c r="A64" s="4" t="s">
        <v>221</v>
      </c>
      <c r="B64" s="4">
        <v>18</v>
      </c>
      <c r="C64" s="4" t="s">
        <v>94</v>
      </c>
      <c r="D64" s="4" t="s">
        <v>238</v>
      </c>
      <c r="E64" s="4" t="s">
        <v>275</v>
      </c>
      <c r="F64" s="4" t="s">
        <v>370</v>
      </c>
      <c r="G64" s="4" t="s">
        <v>371</v>
      </c>
      <c r="H64" s="4"/>
      <c r="I64" s="4" t="s">
        <v>316</v>
      </c>
      <c r="J64" s="17">
        <v>40</v>
      </c>
      <c r="K64" s="4" t="s">
        <v>317</v>
      </c>
      <c r="L64" s="4" t="s">
        <v>279</v>
      </c>
      <c r="M64" s="4" t="s">
        <v>372</v>
      </c>
    </row>
    <row r="65" spans="1:13">
      <c r="A65" s="4" t="s">
        <v>221</v>
      </c>
      <c r="B65" s="4">
        <v>19</v>
      </c>
      <c r="C65" s="4" t="s">
        <v>96</v>
      </c>
      <c r="D65" s="4" t="s">
        <v>239</v>
      </c>
      <c r="E65" s="4" t="s">
        <v>290</v>
      </c>
      <c r="F65" s="4"/>
      <c r="G65" s="4"/>
      <c r="H65" s="4"/>
      <c r="I65" s="4" t="s">
        <v>303</v>
      </c>
      <c r="J65" s="17">
        <v>50</v>
      </c>
      <c r="K65" s="4" t="s">
        <v>279</v>
      </c>
      <c r="L65" s="4" t="s">
        <v>279</v>
      </c>
      <c r="M65" s="4" t="s">
        <v>304</v>
      </c>
    </row>
    <row r="66" spans="1:13">
      <c r="A66" s="4" t="s">
        <v>221</v>
      </c>
      <c r="B66" s="4">
        <v>20</v>
      </c>
      <c r="C66" s="4" t="s">
        <v>98</v>
      </c>
      <c r="D66" s="4" t="s">
        <v>240</v>
      </c>
      <c r="E66" s="4" t="s">
        <v>290</v>
      </c>
      <c r="F66" s="4"/>
      <c r="G66" s="4"/>
      <c r="H66" s="4"/>
      <c r="I66" s="4" t="s">
        <v>303</v>
      </c>
      <c r="J66" s="17">
        <v>50</v>
      </c>
      <c r="K66" s="4" t="s">
        <v>279</v>
      </c>
      <c r="L66" s="4" t="s">
        <v>279</v>
      </c>
      <c r="M66" s="4" t="s">
        <v>304</v>
      </c>
    </row>
    <row r="67" spans="1:13">
      <c r="A67" s="4" t="s">
        <v>221</v>
      </c>
      <c r="B67" s="4">
        <v>21</v>
      </c>
      <c r="C67" s="4" t="s">
        <v>100</v>
      </c>
      <c r="D67" s="4" t="s">
        <v>241</v>
      </c>
      <c r="E67" s="4" t="s">
        <v>281</v>
      </c>
      <c r="F67" s="4" t="s">
        <v>100</v>
      </c>
      <c r="G67" s="4" t="s">
        <v>373</v>
      </c>
      <c r="H67" s="4"/>
      <c r="I67" s="4" t="s">
        <v>278</v>
      </c>
      <c r="J67" s="17">
        <v>40</v>
      </c>
      <c r="K67" s="4" t="s">
        <v>279</v>
      </c>
      <c r="L67" s="4" t="s">
        <v>279</v>
      </c>
      <c r="M67" s="4" t="s">
        <v>374</v>
      </c>
    </row>
    <row r="68" spans="1:13">
      <c r="A68" s="4" t="s">
        <v>221</v>
      </c>
      <c r="B68" s="4">
        <v>22</v>
      </c>
      <c r="C68" s="4" t="s">
        <v>102</v>
      </c>
      <c r="D68" s="4" t="s">
        <v>242</v>
      </c>
      <c r="E68" s="4" t="s">
        <v>290</v>
      </c>
      <c r="F68" s="4"/>
      <c r="G68" s="4"/>
      <c r="H68" s="4"/>
      <c r="I68" s="4" t="s">
        <v>303</v>
      </c>
      <c r="J68" s="17">
        <v>50</v>
      </c>
      <c r="K68" s="4" t="s">
        <v>279</v>
      </c>
      <c r="L68" s="4" t="s">
        <v>279</v>
      </c>
      <c r="M68" s="4" t="s">
        <v>304</v>
      </c>
    </row>
    <row r="69" spans="1:13">
      <c r="A69" s="4" t="s">
        <v>221</v>
      </c>
      <c r="B69" s="4">
        <v>23</v>
      </c>
      <c r="C69" s="4" t="s">
        <v>104</v>
      </c>
      <c r="D69" s="4" t="s">
        <v>243</v>
      </c>
      <c r="E69" s="4" t="s">
        <v>290</v>
      </c>
      <c r="F69" s="4"/>
      <c r="G69" s="4"/>
      <c r="H69" s="4"/>
      <c r="I69" s="4" t="s">
        <v>303</v>
      </c>
      <c r="J69" s="17">
        <v>50</v>
      </c>
      <c r="K69" s="4" t="s">
        <v>279</v>
      </c>
      <c r="L69" s="4" t="s">
        <v>279</v>
      </c>
      <c r="M69" s="4" t="s">
        <v>304</v>
      </c>
    </row>
    <row r="70" spans="1:13">
      <c r="A70" s="4" t="s">
        <v>221</v>
      </c>
      <c r="B70" s="4">
        <v>24</v>
      </c>
      <c r="C70" s="4" t="s">
        <v>106</v>
      </c>
      <c r="D70" s="4" t="s">
        <v>244</v>
      </c>
      <c r="E70" s="4" t="s">
        <v>281</v>
      </c>
      <c r="F70" s="4" t="s">
        <v>106</v>
      </c>
      <c r="G70" s="4" t="s">
        <v>375</v>
      </c>
      <c r="H70" s="4"/>
      <c r="I70" s="4" t="s">
        <v>278</v>
      </c>
      <c r="J70" s="17">
        <v>45</v>
      </c>
      <c r="K70" s="4" t="s">
        <v>279</v>
      </c>
      <c r="L70" s="4" t="s">
        <v>279</v>
      </c>
      <c r="M70" s="4" t="s">
        <v>376</v>
      </c>
    </row>
    <row r="71" spans="1:13">
      <c r="A71" s="4" t="s">
        <v>221</v>
      </c>
      <c r="B71" s="4">
        <v>25</v>
      </c>
      <c r="C71" s="4" t="s">
        <v>108</v>
      </c>
      <c r="D71" s="4" t="s">
        <v>245</v>
      </c>
      <c r="E71" s="4" t="s">
        <v>290</v>
      </c>
      <c r="F71" s="4"/>
      <c r="G71" s="4"/>
      <c r="H71" s="4"/>
      <c r="I71" s="4" t="s">
        <v>303</v>
      </c>
      <c r="J71" s="17">
        <v>50</v>
      </c>
      <c r="K71" s="4" t="s">
        <v>279</v>
      </c>
      <c r="L71" s="4" t="s">
        <v>279</v>
      </c>
      <c r="M71" s="4" t="s">
        <v>304</v>
      </c>
    </row>
    <row r="72" spans="1:13">
      <c r="A72" s="4" t="s">
        <v>221</v>
      </c>
      <c r="B72" s="4">
        <v>26</v>
      </c>
      <c r="C72" s="4" t="s">
        <v>110</v>
      </c>
      <c r="D72" s="4" t="s">
        <v>246</v>
      </c>
      <c r="E72" s="4" t="s">
        <v>281</v>
      </c>
      <c r="F72" s="4" t="s">
        <v>110</v>
      </c>
      <c r="G72" s="4" t="s">
        <v>377</v>
      </c>
      <c r="H72" s="4"/>
      <c r="I72" s="4" t="s">
        <v>278</v>
      </c>
      <c r="J72" s="17">
        <v>60</v>
      </c>
      <c r="K72" s="4" t="s">
        <v>279</v>
      </c>
      <c r="L72" s="4" t="s">
        <v>279</v>
      </c>
      <c r="M72" s="4" t="s">
        <v>378</v>
      </c>
    </row>
    <row r="73" spans="1:13">
      <c r="A73" s="4" t="s">
        <v>221</v>
      </c>
      <c r="B73" s="4">
        <v>27</v>
      </c>
      <c r="C73" s="4" t="s">
        <v>112</v>
      </c>
      <c r="D73" s="4" t="s">
        <v>247</v>
      </c>
      <c r="E73" s="4" t="s">
        <v>281</v>
      </c>
      <c r="F73" s="4" t="s">
        <v>112</v>
      </c>
      <c r="G73" s="4" t="s">
        <v>379</v>
      </c>
      <c r="H73" s="4"/>
      <c r="I73" s="4" t="s">
        <v>278</v>
      </c>
      <c r="J73" s="17">
        <v>50</v>
      </c>
      <c r="K73" s="4" t="s">
        <v>279</v>
      </c>
      <c r="L73" s="4" t="s">
        <v>279</v>
      </c>
      <c r="M73" s="4" t="s">
        <v>380</v>
      </c>
    </row>
    <row r="74" spans="1:13">
      <c r="A74" s="4" t="s">
        <v>221</v>
      </c>
      <c r="B74" s="4">
        <v>28</v>
      </c>
      <c r="C74" s="4" t="s">
        <v>114</v>
      </c>
      <c r="D74" s="4" t="s">
        <v>248</v>
      </c>
      <c r="E74" s="4" t="s">
        <v>290</v>
      </c>
      <c r="F74" s="4"/>
      <c r="G74" s="4"/>
      <c r="H74" s="4"/>
      <c r="I74" s="4" t="s">
        <v>303</v>
      </c>
      <c r="J74" s="17">
        <v>50</v>
      </c>
      <c r="K74" s="4" t="s">
        <v>279</v>
      </c>
      <c r="L74" s="4" t="s">
        <v>279</v>
      </c>
      <c r="M74" s="4" t="s">
        <v>304</v>
      </c>
    </row>
    <row r="75" spans="1:13" ht="27.6">
      <c r="A75" s="4" t="s">
        <v>221</v>
      </c>
      <c r="B75" s="4">
        <v>29</v>
      </c>
      <c r="C75" s="4" t="s">
        <v>116</v>
      </c>
      <c r="D75" s="4" t="s">
        <v>249</v>
      </c>
      <c r="E75" s="4" t="s">
        <v>381</v>
      </c>
      <c r="F75" s="4" t="s">
        <v>382</v>
      </c>
      <c r="G75" s="4" t="s">
        <v>383</v>
      </c>
      <c r="H75" s="4" t="s">
        <v>384</v>
      </c>
      <c r="I75" s="4" t="s">
        <v>385</v>
      </c>
      <c r="J75" s="17">
        <v>40</v>
      </c>
      <c r="K75" s="4" t="s">
        <v>279</v>
      </c>
      <c r="L75" s="4" t="s">
        <v>279</v>
      </c>
      <c r="M75" s="4" t="s">
        <v>386</v>
      </c>
    </row>
    <row r="76" spans="1:13">
      <c r="A76" s="4" t="s">
        <v>221</v>
      </c>
      <c r="B76" s="4">
        <v>30</v>
      </c>
      <c r="C76" s="4" t="s">
        <v>118</v>
      </c>
      <c r="D76" s="4" t="s">
        <v>250</v>
      </c>
      <c r="E76" s="4" t="s">
        <v>290</v>
      </c>
      <c r="F76" s="4"/>
      <c r="G76" s="4"/>
      <c r="H76" s="4"/>
      <c r="I76" s="4" t="s">
        <v>303</v>
      </c>
      <c r="J76" s="17">
        <v>50</v>
      </c>
      <c r="K76" s="4" t="s">
        <v>279</v>
      </c>
      <c r="L76" s="4" t="s">
        <v>279</v>
      </c>
      <c r="M76" s="4" t="s">
        <v>304</v>
      </c>
    </row>
    <row r="77" spans="1:13">
      <c r="A77" s="4" t="s">
        <v>221</v>
      </c>
      <c r="B77" s="4">
        <v>31</v>
      </c>
      <c r="C77" s="4" t="s">
        <v>120</v>
      </c>
      <c r="D77" s="4" t="s">
        <v>251</v>
      </c>
      <c r="E77" s="4" t="s">
        <v>290</v>
      </c>
      <c r="F77" s="4"/>
      <c r="G77" s="4"/>
      <c r="H77" s="4"/>
      <c r="I77" s="4" t="s">
        <v>278</v>
      </c>
      <c r="J77" s="17">
        <v>40</v>
      </c>
      <c r="K77" s="4" t="s">
        <v>279</v>
      </c>
      <c r="L77" s="4" t="s">
        <v>279</v>
      </c>
      <c r="M77" s="4" t="s">
        <v>374</v>
      </c>
    </row>
    <row r="78" spans="1:13">
      <c r="A78" s="4" t="s">
        <v>221</v>
      </c>
      <c r="B78" s="4">
        <v>32</v>
      </c>
      <c r="C78" s="4" t="s">
        <v>122</v>
      </c>
      <c r="D78" s="4" t="s">
        <v>252</v>
      </c>
      <c r="E78" s="4" t="s">
        <v>290</v>
      </c>
      <c r="F78" s="4"/>
      <c r="G78" s="4"/>
      <c r="H78" s="4"/>
      <c r="I78" s="4" t="s">
        <v>278</v>
      </c>
      <c r="J78" s="17">
        <v>40</v>
      </c>
      <c r="K78" s="4" t="s">
        <v>279</v>
      </c>
      <c r="L78" s="4" t="s">
        <v>279</v>
      </c>
      <c r="M78" s="4" t="s">
        <v>374</v>
      </c>
    </row>
    <row r="79" spans="1:13" ht="27.6">
      <c r="A79" s="4" t="s">
        <v>221</v>
      </c>
      <c r="B79" s="4">
        <v>33</v>
      </c>
      <c r="C79" s="4" t="s">
        <v>124</v>
      </c>
      <c r="D79" s="4" t="s">
        <v>253</v>
      </c>
      <c r="E79" s="4" t="s">
        <v>275</v>
      </c>
      <c r="F79" s="4" t="s">
        <v>387</v>
      </c>
      <c r="G79" s="4" t="s">
        <v>388</v>
      </c>
      <c r="H79" s="4"/>
      <c r="I79" s="4" t="s">
        <v>310</v>
      </c>
      <c r="J79" s="17">
        <v>45</v>
      </c>
      <c r="K79" s="4" t="s">
        <v>311</v>
      </c>
      <c r="L79" s="4" t="s">
        <v>279</v>
      </c>
      <c r="M79" s="4" t="s">
        <v>389</v>
      </c>
    </row>
    <row r="80" spans="1:13">
      <c r="A80" s="4" t="s">
        <v>221</v>
      </c>
      <c r="B80" s="4">
        <v>34</v>
      </c>
      <c r="C80" s="4" t="s">
        <v>126</v>
      </c>
      <c r="D80" s="4" t="s">
        <v>254</v>
      </c>
      <c r="E80" s="4" t="s">
        <v>290</v>
      </c>
      <c r="F80" s="4"/>
      <c r="G80" s="4"/>
      <c r="H80" s="4"/>
      <c r="I80" s="4" t="s">
        <v>303</v>
      </c>
      <c r="J80" s="17">
        <v>50</v>
      </c>
      <c r="K80" s="4" t="s">
        <v>279</v>
      </c>
      <c r="L80" s="4" t="s">
        <v>279</v>
      </c>
      <c r="M80" s="4" t="s">
        <v>304</v>
      </c>
    </row>
    <row r="81" spans="1:13" ht="27.6">
      <c r="A81" s="4" t="s">
        <v>221</v>
      </c>
      <c r="B81" s="4">
        <v>35</v>
      </c>
      <c r="C81" s="4" t="s">
        <v>128</v>
      </c>
      <c r="D81" s="4" t="s">
        <v>255</v>
      </c>
      <c r="E81" s="4" t="s">
        <v>342</v>
      </c>
      <c r="F81" s="4" t="s">
        <v>390</v>
      </c>
      <c r="G81" s="4"/>
      <c r="H81" s="4"/>
      <c r="I81" s="4" t="s">
        <v>310</v>
      </c>
      <c r="J81" s="17">
        <v>50</v>
      </c>
      <c r="K81" s="4" t="s">
        <v>311</v>
      </c>
      <c r="L81" s="4" t="s">
        <v>279</v>
      </c>
      <c r="M81" s="4" t="s">
        <v>355</v>
      </c>
    </row>
    <row r="82" spans="1:13">
      <c r="A82" s="4" t="s">
        <v>221</v>
      </c>
      <c r="B82" s="4">
        <v>36</v>
      </c>
      <c r="C82" s="4" t="s">
        <v>130</v>
      </c>
      <c r="D82" s="4" t="s">
        <v>256</v>
      </c>
      <c r="E82" s="4" t="s">
        <v>290</v>
      </c>
      <c r="F82" s="4"/>
      <c r="G82" s="4"/>
      <c r="H82" s="4"/>
      <c r="I82" s="4" t="s">
        <v>303</v>
      </c>
      <c r="J82" s="17">
        <v>50</v>
      </c>
      <c r="K82" s="4" t="s">
        <v>279</v>
      </c>
      <c r="L82" s="4" t="s">
        <v>279</v>
      </c>
      <c r="M82" s="4" t="s">
        <v>304</v>
      </c>
    </row>
    <row r="83" spans="1:13">
      <c r="A83" s="4" t="s">
        <v>221</v>
      </c>
      <c r="B83" s="4">
        <v>37</v>
      </c>
      <c r="C83" s="4" t="s">
        <v>132</v>
      </c>
      <c r="D83" s="4" t="s">
        <v>257</v>
      </c>
      <c r="E83" s="4" t="s">
        <v>290</v>
      </c>
      <c r="F83" s="4"/>
      <c r="G83" s="4"/>
      <c r="H83" s="4"/>
      <c r="I83" s="4" t="s">
        <v>303</v>
      </c>
      <c r="J83" s="17">
        <v>50</v>
      </c>
      <c r="K83" s="4" t="s">
        <v>279</v>
      </c>
      <c r="L83" s="4" t="s">
        <v>279</v>
      </c>
      <c r="M83" s="4" t="s">
        <v>304</v>
      </c>
    </row>
    <row r="84" spans="1:13">
      <c r="A84" s="4" t="s">
        <v>221</v>
      </c>
      <c r="B84" s="4">
        <v>38</v>
      </c>
      <c r="C84" s="4" t="s">
        <v>134</v>
      </c>
      <c r="D84" s="4" t="s">
        <v>258</v>
      </c>
      <c r="E84" s="4" t="s">
        <v>281</v>
      </c>
      <c r="F84" s="4" t="s">
        <v>134</v>
      </c>
      <c r="G84" s="4" t="s">
        <v>391</v>
      </c>
      <c r="H84" s="4"/>
      <c r="I84" s="4" t="s">
        <v>325</v>
      </c>
      <c r="J84" s="17">
        <v>50</v>
      </c>
      <c r="K84" s="4" t="s">
        <v>326</v>
      </c>
      <c r="L84" s="4" t="s">
        <v>326</v>
      </c>
      <c r="M84" s="4" t="s">
        <v>327</v>
      </c>
    </row>
    <row r="85" spans="1:13">
      <c r="A85" s="4" t="s">
        <v>221</v>
      </c>
      <c r="B85" s="4">
        <v>39</v>
      </c>
      <c r="C85" s="4" t="s">
        <v>136</v>
      </c>
      <c r="D85" s="4" t="s">
        <v>259</v>
      </c>
      <c r="E85" s="4" t="s">
        <v>290</v>
      </c>
      <c r="F85" s="4"/>
      <c r="G85" s="4"/>
      <c r="H85" s="4"/>
      <c r="I85" s="4" t="s">
        <v>325</v>
      </c>
      <c r="J85" s="17">
        <v>50</v>
      </c>
      <c r="K85" s="4" t="s">
        <v>326</v>
      </c>
      <c r="L85" s="4" t="s">
        <v>326</v>
      </c>
      <c r="M85" s="4" t="s">
        <v>327</v>
      </c>
    </row>
    <row r="86" spans="1:13">
      <c r="A86" s="4" t="s">
        <v>221</v>
      </c>
      <c r="B86" s="4">
        <v>40</v>
      </c>
      <c r="C86" s="4" t="s">
        <v>138</v>
      </c>
      <c r="D86" s="4" t="s">
        <v>260</v>
      </c>
      <c r="E86" s="4" t="s">
        <v>290</v>
      </c>
      <c r="F86" s="4"/>
      <c r="G86" s="4"/>
      <c r="H86" s="4"/>
      <c r="I86" s="4" t="s">
        <v>303</v>
      </c>
      <c r="J86" s="17">
        <v>50</v>
      </c>
      <c r="K86" s="4" t="s">
        <v>279</v>
      </c>
      <c r="L86" s="4" t="s">
        <v>279</v>
      </c>
      <c r="M86" s="4" t="s">
        <v>304</v>
      </c>
    </row>
    <row r="87" spans="1:13">
      <c r="A87" s="4" t="s">
        <v>221</v>
      </c>
      <c r="B87" s="4">
        <v>41</v>
      </c>
      <c r="C87" s="4" t="s">
        <v>140</v>
      </c>
      <c r="D87" s="4" t="s">
        <v>261</v>
      </c>
      <c r="E87" s="4" t="s">
        <v>281</v>
      </c>
      <c r="F87" s="4" t="s">
        <v>140</v>
      </c>
      <c r="G87" s="4" t="s">
        <v>392</v>
      </c>
      <c r="H87" s="4"/>
      <c r="I87" s="4" t="s">
        <v>278</v>
      </c>
      <c r="J87" s="17">
        <v>40</v>
      </c>
      <c r="K87" s="4" t="s">
        <v>279</v>
      </c>
      <c r="L87" s="4" t="s">
        <v>279</v>
      </c>
      <c r="M87" s="4" t="s">
        <v>374</v>
      </c>
    </row>
    <row r="88" spans="1:13" ht="27.6">
      <c r="A88" s="4" t="s">
        <v>221</v>
      </c>
      <c r="B88" s="4">
        <v>42</v>
      </c>
      <c r="C88" s="4" t="s">
        <v>142</v>
      </c>
      <c r="D88" s="4" t="s">
        <v>262</v>
      </c>
      <c r="E88" s="4" t="s">
        <v>275</v>
      </c>
      <c r="F88" s="4" t="s">
        <v>393</v>
      </c>
      <c r="G88" s="4" t="s">
        <v>394</v>
      </c>
      <c r="H88" s="4"/>
      <c r="I88" s="4" t="s">
        <v>395</v>
      </c>
      <c r="J88" s="17">
        <v>40</v>
      </c>
      <c r="K88" s="4" t="s">
        <v>279</v>
      </c>
      <c r="L88" s="4" t="s">
        <v>279</v>
      </c>
      <c r="M88" s="4" t="s">
        <v>396</v>
      </c>
    </row>
    <row r="89" spans="1:13" ht="27.6">
      <c r="A89" s="4" t="s">
        <v>221</v>
      </c>
      <c r="B89" s="4">
        <v>43</v>
      </c>
      <c r="C89" s="4" t="s">
        <v>144</v>
      </c>
      <c r="D89" s="4" t="s">
        <v>262</v>
      </c>
      <c r="E89" s="4" t="s">
        <v>275</v>
      </c>
      <c r="F89" s="4" t="s">
        <v>393</v>
      </c>
      <c r="G89" s="4" t="s">
        <v>394</v>
      </c>
      <c r="H89" s="4"/>
      <c r="I89" s="4" t="s">
        <v>395</v>
      </c>
      <c r="J89" s="17">
        <v>40</v>
      </c>
      <c r="K89" s="4" t="s">
        <v>279</v>
      </c>
      <c r="L89" s="4" t="s">
        <v>279</v>
      </c>
      <c r="M89" s="4" t="s">
        <v>396</v>
      </c>
    </row>
    <row r="90" spans="1:13">
      <c r="A90" s="4" t="s">
        <v>221</v>
      </c>
      <c r="B90" s="4">
        <v>44</v>
      </c>
      <c r="C90" s="4" t="s">
        <v>146</v>
      </c>
      <c r="D90" s="4" t="s">
        <v>263</v>
      </c>
      <c r="E90" s="4" t="s">
        <v>290</v>
      </c>
      <c r="F90" s="4"/>
      <c r="G90" s="4"/>
      <c r="H90" s="4"/>
      <c r="I90" s="4" t="s">
        <v>303</v>
      </c>
      <c r="J90" s="17">
        <v>50</v>
      </c>
      <c r="K90" s="4" t="s">
        <v>279</v>
      </c>
      <c r="L90" s="4" t="s">
        <v>279</v>
      </c>
      <c r="M90" s="4" t="s">
        <v>304</v>
      </c>
    </row>
    <row r="91" spans="1:13">
      <c r="A91" s="4" t="s">
        <v>221</v>
      </c>
      <c r="B91" s="4">
        <v>45</v>
      </c>
      <c r="C91" s="4" t="s">
        <v>148</v>
      </c>
      <c r="D91" s="4" t="s">
        <v>264</v>
      </c>
      <c r="E91" s="4" t="s">
        <v>290</v>
      </c>
      <c r="F91" s="4"/>
      <c r="G91" s="4"/>
      <c r="H91" s="4"/>
      <c r="I91" s="4" t="s">
        <v>303</v>
      </c>
      <c r="J91" s="17">
        <v>50</v>
      </c>
      <c r="K91" s="4" t="s">
        <v>279</v>
      </c>
      <c r="L91" s="4" t="s">
        <v>279</v>
      </c>
      <c r="M91" s="4" t="s">
        <v>304</v>
      </c>
    </row>
    <row r="92" spans="1:13">
      <c r="A92" s="4" t="s">
        <v>221</v>
      </c>
      <c r="B92" s="4">
        <v>46</v>
      </c>
      <c r="C92" s="4" t="s">
        <v>150</v>
      </c>
      <c r="D92" s="4" t="s">
        <v>265</v>
      </c>
      <c r="E92" s="4" t="s">
        <v>290</v>
      </c>
      <c r="F92" s="4"/>
      <c r="G92" s="4"/>
      <c r="H92" s="4"/>
      <c r="I92" s="4" t="s">
        <v>303</v>
      </c>
      <c r="J92" s="17">
        <v>50</v>
      </c>
      <c r="K92" s="4" t="s">
        <v>279</v>
      </c>
      <c r="L92" s="4" t="s">
        <v>279</v>
      </c>
      <c r="M92" s="4" t="s">
        <v>304</v>
      </c>
    </row>
  </sheetData>
  <conditionalFormatting sqref="E2:E92">
    <cfRule type="expression" dxfId="4" priority="1">
      <formula>E2="CREAR_EN_APP"</formula>
    </cfRule>
    <cfRule type="expression" dxfId="3" priority="2">
      <formula>E2="CREAR_FRUTA_FRESCA"</formula>
    </cfRule>
    <cfRule type="expression" dxfId="2" priority="3">
      <formula>E2="MANUAL"</formula>
    </cfRule>
    <cfRule type="expression" dxfId="1" priority="4">
      <formula>OR(E2="CONECTADO",E2="CONECTADO_CON_CORRECCION",E2="CONECTADO_VINCULADO")</formula>
    </cfRule>
    <cfRule type="expression" dxfId="0" priority="5">
      <formula>E2="MULTI_FORMULA"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workbookViewId="0"/>
  </sheetViews>
  <sheetFormatPr baseColWidth="10" defaultColWidth="8.796875" defaultRowHeight="13.8"/>
  <cols>
    <col min="1" max="3" width="28" customWidth="1"/>
    <col min="4" max="4" width="12" customWidth="1"/>
    <col min="5" max="5" width="22" customWidth="1"/>
    <col min="6" max="6" width="70" customWidth="1"/>
    <col min="7" max="7" width="30" customWidth="1"/>
  </cols>
  <sheetData>
    <row r="1" spans="1:7" ht="22.35" customHeight="1">
      <c r="A1" s="5" t="s">
        <v>166</v>
      </c>
      <c r="B1" s="5" t="s">
        <v>397</v>
      </c>
      <c r="C1" s="5" t="s">
        <v>398</v>
      </c>
      <c r="D1" s="5" t="s">
        <v>271</v>
      </c>
      <c r="E1" s="5" t="s">
        <v>399</v>
      </c>
      <c r="F1" s="5" t="s">
        <v>400</v>
      </c>
      <c r="G1" s="5" t="s">
        <v>170</v>
      </c>
    </row>
    <row r="2" spans="1:7">
      <c r="A2" s="4" t="s">
        <v>174</v>
      </c>
      <c r="B2" s="4" t="s">
        <v>61</v>
      </c>
      <c r="C2" s="4" t="s">
        <v>278</v>
      </c>
      <c r="D2" s="17">
        <v>60</v>
      </c>
      <c r="E2" s="4"/>
      <c r="F2" s="4" t="s">
        <v>280</v>
      </c>
      <c r="G2" s="4"/>
    </row>
    <row r="3" spans="1:7">
      <c r="A3" s="4" t="s">
        <v>176</v>
      </c>
      <c r="B3" s="4" t="s">
        <v>63</v>
      </c>
      <c r="C3" s="4" t="s">
        <v>278</v>
      </c>
      <c r="D3" s="17">
        <v>45</v>
      </c>
      <c r="E3" s="4"/>
      <c r="F3" s="4" t="s">
        <v>283</v>
      </c>
      <c r="G3" s="4"/>
    </row>
    <row r="4" spans="1:7">
      <c r="A4" s="4" t="s">
        <v>177</v>
      </c>
      <c r="B4" s="4" t="s">
        <v>65</v>
      </c>
      <c r="C4" s="4" t="s">
        <v>278</v>
      </c>
      <c r="D4" s="17">
        <v>35</v>
      </c>
      <c r="E4" s="4"/>
      <c r="F4" s="4" t="s">
        <v>286</v>
      </c>
      <c r="G4" s="4"/>
    </row>
    <row r="5" spans="1:7">
      <c r="A5" s="4" t="s">
        <v>178</v>
      </c>
      <c r="B5" s="4" t="s">
        <v>67</v>
      </c>
      <c r="C5" s="4" t="s">
        <v>287</v>
      </c>
      <c r="D5" s="17">
        <v>60</v>
      </c>
      <c r="E5" s="4"/>
      <c r="F5" s="4" t="s">
        <v>289</v>
      </c>
      <c r="G5" s="4"/>
    </row>
    <row r="6" spans="1:7">
      <c r="A6" s="4" t="s">
        <v>179</v>
      </c>
      <c r="B6" s="4" t="s">
        <v>69</v>
      </c>
      <c r="C6" s="4" t="s">
        <v>291</v>
      </c>
      <c r="D6" s="17">
        <v>45</v>
      </c>
      <c r="E6" s="4" t="s">
        <v>401</v>
      </c>
      <c r="F6" s="4" t="s">
        <v>293</v>
      </c>
      <c r="G6" s="4"/>
    </row>
    <row r="7" spans="1:7">
      <c r="A7" s="4" t="s">
        <v>180</v>
      </c>
      <c r="B7" s="4" t="s">
        <v>71</v>
      </c>
      <c r="C7" s="4" t="s">
        <v>295</v>
      </c>
      <c r="D7" s="17">
        <v>100</v>
      </c>
      <c r="E7" s="4" t="s">
        <v>402</v>
      </c>
      <c r="F7" s="4" t="s">
        <v>296</v>
      </c>
      <c r="G7" s="4"/>
    </row>
    <row r="8" spans="1:7">
      <c r="A8" s="4" t="s">
        <v>181</v>
      </c>
      <c r="B8" s="4" t="s">
        <v>73</v>
      </c>
      <c r="C8" s="4" t="s">
        <v>297</v>
      </c>
      <c r="D8" s="17">
        <v>45</v>
      </c>
      <c r="E8" s="4" t="s">
        <v>403</v>
      </c>
      <c r="F8" s="4" t="s">
        <v>299</v>
      </c>
      <c r="G8" s="4"/>
    </row>
    <row r="9" spans="1:7">
      <c r="A9" s="4" t="s">
        <v>182</v>
      </c>
      <c r="B9" s="4" t="s">
        <v>75</v>
      </c>
      <c r="C9" s="4" t="s">
        <v>300</v>
      </c>
      <c r="D9" s="17">
        <v>70</v>
      </c>
      <c r="E9" s="4"/>
      <c r="F9" s="4" t="s">
        <v>302</v>
      </c>
      <c r="G9" s="4"/>
    </row>
    <row r="10" spans="1:7">
      <c r="A10" s="4" t="s">
        <v>183</v>
      </c>
      <c r="B10" s="4" t="s">
        <v>77</v>
      </c>
      <c r="C10" s="4" t="s">
        <v>303</v>
      </c>
      <c r="D10" s="17">
        <v>50</v>
      </c>
      <c r="E10" s="4"/>
      <c r="F10" s="4" t="s">
        <v>304</v>
      </c>
      <c r="G10" s="4"/>
    </row>
    <row r="11" spans="1:7">
      <c r="A11" s="4" t="s">
        <v>184</v>
      </c>
      <c r="B11" s="4" t="s">
        <v>79</v>
      </c>
      <c r="C11" s="4" t="s">
        <v>297</v>
      </c>
      <c r="D11" s="17">
        <v>35</v>
      </c>
      <c r="E11" s="4"/>
      <c r="F11" s="4" t="s">
        <v>307</v>
      </c>
      <c r="G11" s="4"/>
    </row>
    <row r="12" spans="1:7">
      <c r="A12" s="4" t="s">
        <v>185</v>
      </c>
      <c r="B12" s="4" t="s">
        <v>81</v>
      </c>
      <c r="C12" s="4" t="s">
        <v>278</v>
      </c>
      <c r="D12" s="17">
        <v>35</v>
      </c>
      <c r="E12" s="4"/>
      <c r="F12" s="4" t="s">
        <v>286</v>
      </c>
      <c r="G12" s="4"/>
    </row>
    <row r="13" spans="1:7">
      <c r="A13" s="4" t="s">
        <v>186</v>
      </c>
      <c r="B13" s="4" t="s">
        <v>83</v>
      </c>
      <c r="C13" s="4" t="s">
        <v>310</v>
      </c>
      <c r="D13" s="17">
        <v>40</v>
      </c>
      <c r="E13" s="4" t="s">
        <v>404</v>
      </c>
      <c r="F13" s="4" t="s">
        <v>312</v>
      </c>
      <c r="G13" s="4"/>
    </row>
    <row r="14" spans="1:7">
      <c r="A14" s="4" t="s">
        <v>187</v>
      </c>
      <c r="B14" s="4" t="s">
        <v>85</v>
      </c>
      <c r="C14" s="4" t="s">
        <v>303</v>
      </c>
      <c r="D14" s="17">
        <v>50</v>
      </c>
      <c r="E14" s="4"/>
      <c r="F14" s="4" t="s">
        <v>304</v>
      </c>
      <c r="G14" s="4"/>
    </row>
    <row r="15" spans="1:7">
      <c r="A15" s="4" t="s">
        <v>188</v>
      </c>
      <c r="B15" s="4" t="s">
        <v>87</v>
      </c>
      <c r="C15" s="4" t="s">
        <v>314</v>
      </c>
      <c r="D15" s="17">
        <v>50</v>
      </c>
      <c r="E15" s="4"/>
      <c r="F15" s="4" t="s">
        <v>315</v>
      </c>
      <c r="G15" s="4"/>
    </row>
    <row r="16" spans="1:7">
      <c r="A16" s="4" t="s">
        <v>189</v>
      </c>
      <c r="B16" s="4" t="s">
        <v>89</v>
      </c>
      <c r="C16" s="4" t="s">
        <v>303</v>
      </c>
      <c r="D16" s="17">
        <v>50</v>
      </c>
      <c r="E16" s="4"/>
      <c r="F16" s="4" t="s">
        <v>304</v>
      </c>
      <c r="G16" s="4"/>
    </row>
    <row r="17" spans="1:7">
      <c r="A17" s="4" t="s">
        <v>190</v>
      </c>
      <c r="B17" s="4" t="s">
        <v>91</v>
      </c>
      <c r="C17" s="4" t="s">
        <v>303</v>
      </c>
      <c r="D17" s="17">
        <v>50</v>
      </c>
      <c r="E17" s="4"/>
      <c r="F17" s="4" t="s">
        <v>304</v>
      </c>
      <c r="G17" s="4"/>
    </row>
    <row r="18" spans="1:7">
      <c r="A18" s="4" t="s">
        <v>191</v>
      </c>
      <c r="B18" s="4" t="s">
        <v>93</v>
      </c>
      <c r="C18" s="4" t="s">
        <v>316</v>
      </c>
      <c r="D18" s="17">
        <v>60</v>
      </c>
      <c r="E18" s="4" t="s">
        <v>405</v>
      </c>
      <c r="F18" s="4" t="s">
        <v>318</v>
      </c>
      <c r="G18" s="4"/>
    </row>
    <row r="19" spans="1:7">
      <c r="A19" s="4" t="s">
        <v>192</v>
      </c>
      <c r="B19" s="4" t="s">
        <v>95</v>
      </c>
      <c r="C19" s="4" t="s">
        <v>278</v>
      </c>
      <c r="D19" s="17">
        <v>35</v>
      </c>
      <c r="E19" s="4"/>
      <c r="F19" s="4" t="s">
        <v>286</v>
      </c>
      <c r="G19" s="4"/>
    </row>
    <row r="20" spans="1:7">
      <c r="A20" s="4" t="s">
        <v>193</v>
      </c>
      <c r="B20" s="4" t="s">
        <v>97</v>
      </c>
      <c r="C20" s="4" t="s">
        <v>319</v>
      </c>
      <c r="D20" s="17">
        <v>60</v>
      </c>
      <c r="E20" s="4" t="s">
        <v>406</v>
      </c>
      <c r="F20" s="4" t="s">
        <v>320</v>
      </c>
      <c r="G20" s="4"/>
    </row>
    <row r="21" spans="1:7">
      <c r="A21" s="4" t="s">
        <v>194</v>
      </c>
      <c r="B21" s="4" t="s">
        <v>99</v>
      </c>
      <c r="C21" s="4" t="s">
        <v>303</v>
      </c>
      <c r="D21" s="17">
        <v>50</v>
      </c>
      <c r="E21" s="4"/>
      <c r="F21" s="4" t="s">
        <v>304</v>
      </c>
      <c r="G21" s="4"/>
    </row>
    <row r="22" spans="1:7">
      <c r="A22" s="4" t="s">
        <v>195</v>
      </c>
      <c r="B22" s="4" t="s">
        <v>101</v>
      </c>
      <c r="C22" s="4" t="s">
        <v>297</v>
      </c>
      <c r="D22" s="17">
        <v>119</v>
      </c>
      <c r="E22" s="4" t="s">
        <v>407</v>
      </c>
      <c r="F22" s="4" t="s">
        <v>323</v>
      </c>
      <c r="G22" s="4"/>
    </row>
    <row r="23" spans="1:7">
      <c r="A23" s="4" t="s">
        <v>196</v>
      </c>
      <c r="B23" s="4" t="s">
        <v>103</v>
      </c>
      <c r="C23" s="4" t="s">
        <v>325</v>
      </c>
      <c r="D23" s="17">
        <v>50</v>
      </c>
      <c r="E23" s="4"/>
      <c r="F23" s="4" t="s">
        <v>327</v>
      </c>
      <c r="G23" s="4"/>
    </row>
    <row r="24" spans="1:7">
      <c r="A24" s="4" t="s">
        <v>197</v>
      </c>
      <c r="B24" s="4" t="s">
        <v>105</v>
      </c>
      <c r="C24" s="4" t="s">
        <v>314</v>
      </c>
      <c r="D24" s="17">
        <v>50</v>
      </c>
      <c r="E24" s="4"/>
      <c r="F24" s="4" t="s">
        <v>315</v>
      </c>
      <c r="G24" s="4"/>
    </row>
    <row r="25" spans="1:7">
      <c r="A25" s="4" t="s">
        <v>198</v>
      </c>
      <c r="B25" s="4" t="s">
        <v>107</v>
      </c>
      <c r="C25" s="4" t="s">
        <v>303</v>
      </c>
      <c r="D25" s="17">
        <v>50</v>
      </c>
      <c r="E25" s="4"/>
      <c r="F25" s="4" t="s">
        <v>304</v>
      </c>
      <c r="G25" s="4"/>
    </row>
    <row r="26" spans="1:7">
      <c r="A26" s="4" t="s">
        <v>199</v>
      </c>
      <c r="B26" s="4" t="s">
        <v>109</v>
      </c>
      <c r="C26" s="4" t="s">
        <v>303</v>
      </c>
      <c r="D26" s="17">
        <v>50</v>
      </c>
      <c r="E26" s="4"/>
      <c r="F26" s="4" t="s">
        <v>304</v>
      </c>
      <c r="G26" s="4"/>
    </row>
    <row r="27" spans="1:7">
      <c r="A27" s="4" t="s">
        <v>200</v>
      </c>
      <c r="B27" s="4" t="s">
        <v>111</v>
      </c>
      <c r="C27" s="4" t="s">
        <v>303</v>
      </c>
      <c r="D27" s="17">
        <v>50</v>
      </c>
      <c r="E27" s="4"/>
      <c r="F27" s="4" t="s">
        <v>304</v>
      </c>
      <c r="G27" s="4"/>
    </row>
    <row r="28" spans="1:7">
      <c r="A28" s="4" t="s">
        <v>201</v>
      </c>
      <c r="B28" s="4" t="s">
        <v>113</v>
      </c>
      <c r="C28" s="4" t="s">
        <v>278</v>
      </c>
      <c r="D28" s="17">
        <v>100</v>
      </c>
      <c r="E28" s="4"/>
      <c r="F28" s="4" t="s">
        <v>332</v>
      </c>
      <c r="G28" s="4"/>
    </row>
    <row r="29" spans="1:7">
      <c r="A29" s="4" t="s">
        <v>202</v>
      </c>
      <c r="B29" s="4" t="s">
        <v>115</v>
      </c>
      <c r="C29" s="4" t="s">
        <v>325</v>
      </c>
      <c r="D29" s="17">
        <v>50</v>
      </c>
      <c r="E29" s="4"/>
      <c r="F29" s="4" t="s">
        <v>335</v>
      </c>
      <c r="G29" s="4"/>
    </row>
    <row r="30" spans="1:7">
      <c r="A30" s="4" t="s">
        <v>203</v>
      </c>
      <c r="B30" s="4" t="s">
        <v>117</v>
      </c>
      <c r="C30" s="4" t="s">
        <v>325</v>
      </c>
      <c r="D30" s="17">
        <v>50</v>
      </c>
      <c r="E30" s="4"/>
      <c r="F30" s="4" t="s">
        <v>335</v>
      </c>
      <c r="G30" s="4"/>
    </row>
    <row r="31" spans="1:7">
      <c r="A31" s="4" t="s">
        <v>204</v>
      </c>
      <c r="B31" s="4" t="s">
        <v>119</v>
      </c>
      <c r="C31" s="4" t="s">
        <v>303</v>
      </c>
      <c r="D31" s="17">
        <v>50</v>
      </c>
      <c r="E31" s="4"/>
      <c r="F31" s="4" t="s">
        <v>304</v>
      </c>
      <c r="G31" s="4"/>
    </row>
    <row r="32" spans="1:7">
      <c r="A32" s="4" t="s">
        <v>205</v>
      </c>
      <c r="B32" s="4" t="s">
        <v>121</v>
      </c>
      <c r="C32" s="4" t="s">
        <v>278</v>
      </c>
      <c r="D32" s="17">
        <v>50</v>
      </c>
      <c r="E32" s="4"/>
      <c r="F32" s="4" t="s">
        <v>338</v>
      </c>
      <c r="G32" s="4"/>
    </row>
    <row r="33" spans="1:7">
      <c r="A33" s="4" t="s">
        <v>206</v>
      </c>
      <c r="B33" s="4" t="s">
        <v>123</v>
      </c>
      <c r="C33" s="4" t="s">
        <v>314</v>
      </c>
      <c r="D33" s="17">
        <v>50</v>
      </c>
      <c r="E33" s="4"/>
      <c r="F33" s="4" t="s">
        <v>340</v>
      </c>
      <c r="G33" s="4"/>
    </row>
    <row r="34" spans="1:7">
      <c r="A34" s="4" t="s">
        <v>207</v>
      </c>
      <c r="B34" s="4" t="s">
        <v>125</v>
      </c>
      <c r="C34" s="4" t="s">
        <v>303</v>
      </c>
      <c r="D34" s="17">
        <v>50</v>
      </c>
      <c r="E34" s="4"/>
      <c r="F34" s="4" t="s">
        <v>304</v>
      </c>
      <c r="G34" s="4"/>
    </row>
    <row r="35" spans="1:7">
      <c r="A35" s="4" t="s">
        <v>208</v>
      </c>
      <c r="B35" s="4" t="s">
        <v>127</v>
      </c>
      <c r="C35" s="4" t="s">
        <v>303</v>
      </c>
      <c r="D35" s="17">
        <v>50</v>
      </c>
      <c r="E35" s="4"/>
      <c r="F35" s="4" t="s">
        <v>304</v>
      </c>
      <c r="G35" s="4"/>
    </row>
    <row r="36" spans="1:7">
      <c r="A36" s="4" t="s">
        <v>209</v>
      </c>
      <c r="B36" s="4" t="s">
        <v>129</v>
      </c>
      <c r="C36" s="4" t="s">
        <v>303</v>
      </c>
      <c r="D36" s="17">
        <v>50</v>
      </c>
      <c r="E36" s="4"/>
      <c r="F36" s="4" t="s">
        <v>304</v>
      </c>
      <c r="G36" s="4"/>
    </row>
    <row r="37" spans="1:7">
      <c r="A37" s="4" t="s">
        <v>210</v>
      </c>
      <c r="B37" s="4" t="s">
        <v>131</v>
      </c>
      <c r="C37" s="4" t="s">
        <v>303</v>
      </c>
      <c r="D37" s="17">
        <v>50</v>
      </c>
      <c r="E37" s="4"/>
      <c r="F37" s="4" t="s">
        <v>304</v>
      </c>
      <c r="G37" s="4"/>
    </row>
    <row r="38" spans="1:7">
      <c r="A38" s="4" t="s">
        <v>211</v>
      </c>
      <c r="B38" s="4" t="s">
        <v>133</v>
      </c>
      <c r="C38" s="4" t="s">
        <v>303</v>
      </c>
      <c r="D38" s="17">
        <v>50</v>
      </c>
      <c r="E38" s="4"/>
      <c r="F38" s="4" t="s">
        <v>304</v>
      </c>
      <c r="G38" s="4"/>
    </row>
    <row r="39" spans="1:7">
      <c r="A39" s="4" t="s">
        <v>212</v>
      </c>
      <c r="B39" s="4" t="s">
        <v>135</v>
      </c>
      <c r="C39" s="4" t="s">
        <v>303</v>
      </c>
      <c r="D39" s="17">
        <v>50</v>
      </c>
      <c r="E39" s="4"/>
      <c r="F39" s="4" t="s">
        <v>304</v>
      </c>
      <c r="G39" s="4"/>
    </row>
    <row r="40" spans="1:7">
      <c r="A40" s="4" t="s">
        <v>213</v>
      </c>
      <c r="B40" s="4" t="s">
        <v>137</v>
      </c>
      <c r="C40" s="4" t="s">
        <v>278</v>
      </c>
      <c r="D40" s="17">
        <v>50</v>
      </c>
      <c r="E40" s="4"/>
      <c r="F40" s="4" t="s">
        <v>345</v>
      </c>
      <c r="G40" s="4"/>
    </row>
    <row r="41" spans="1:7">
      <c r="A41" s="4" t="s">
        <v>214</v>
      </c>
      <c r="B41" s="4" t="s">
        <v>139</v>
      </c>
      <c r="C41" s="4" t="s">
        <v>303</v>
      </c>
      <c r="D41" s="17">
        <v>50</v>
      </c>
      <c r="E41" s="4"/>
      <c r="F41" s="4" t="s">
        <v>304</v>
      </c>
      <c r="G41" s="4"/>
    </row>
    <row r="42" spans="1:7">
      <c r="A42" s="4" t="s">
        <v>215</v>
      </c>
      <c r="B42" s="4" t="s">
        <v>141</v>
      </c>
      <c r="C42" s="4" t="s">
        <v>314</v>
      </c>
      <c r="D42" s="17">
        <v>60</v>
      </c>
      <c r="E42" s="4"/>
      <c r="F42" s="4" t="s">
        <v>347</v>
      </c>
      <c r="G42" s="4"/>
    </row>
    <row r="43" spans="1:7">
      <c r="A43" s="4" t="s">
        <v>216</v>
      </c>
      <c r="B43" s="4" t="s">
        <v>143</v>
      </c>
      <c r="C43" s="4" t="s">
        <v>314</v>
      </c>
      <c r="D43" s="17">
        <v>70</v>
      </c>
      <c r="E43" s="4"/>
      <c r="F43" s="4" t="s">
        <v>349</v>
      </c>
      <c r="G43" s="4"/>
    </row>
    <row r="44" spans="1:7">
      <c r="A44" s="4" t="s">
        <v>217</v>
      </c>
      <c r="B44" s="4" t="s">
        <v>145</v>
      </c>
      <c r="C44" s="4" t="s">
        <v>303</v>
      </c>
      <c r="D44" s="17">
        <v>50</v>
      </c>
      <c r="E44" s="4"/>
      <c r="F44" s="4" t="s">
        <v>304</v>
      </c>
      <c r="G44" s="4"/>
    </row>
    <row r="45" spans="1:7">
      <c r="A45" s="4" t="s">
        <v>218</v>
      </c>
      <c r="B45" s="4" t="s">
        <v>147</v>
      </c>
      <c r="C45" s="4" t="s">
        <v>350</v>
      </c>
      <c r="D45" s="17">
        <v>85</v>
      </c>
      <c r="E45" s="4" t="s">
        <v>408</v>
      </c>
      <c r="F45" s="4" t="s">
        <v>351</v>
      </c>
      <c r="G45" s="4"/>
    </row>
    <row r="46" spans="1:7">
      <c r="A46" s="4" t="s">
        <v>219</v>
      </c>
      <c r="B46" s="4" t="s">
        <v>149</v>
      </c>
      <c r="C46" s="4" t="s">
        <v>278</v>
      </c>
      <c r="D46" s="17">
        <v>55</v>
      </c>
      <c r="E46" s="4"/>
      <c r="F46" s="4" t="s">
        <v>353</v>
      </c>
      <c r="G46" s="4"/>
    </row>
    <row r="47" spans="1:7">
      <c r="A47" s="4" t="s">
        <v>220</v>
      </c>
      <c r="B47" s="4" t="s">
        <v>151</v>
      </c>
      <c r="C47" s="4" t="s">
        <v>310</v>
      </c>
      <c r="D47" s="17">
        <v>50</v>
      </c>
      <c r="E47" s="4" t="s">
        <v>409</v>
      </c>
      <c r="F47" s="4" t="s">
        <v>355</v>
      </c>
      <c r="G47" s="4"/>
    </row>
    <row r="48" spans="1:7">
      <c r="A48" s="4" t="s">
        <v>222</v>
      </c>
      <c r="B48" s="4" t="s">
        <v>62</v>
      </c>
      <c r="C48" s="4" t="s">
        <v>303</v>
      </c>
      <c r="D48" s="17">
        <v>50</v>
      </c>
      <c r="E48" s="4"/>
      <c r="F48" s="4" t="s">
        <v>304</v>
      </c>
      <c r="G48" s="4"/>
    </row>
    <row r="49" spans="1:7">
      <c r="A49" s="4" t="s">
        <v>223</v>
      </c>
      <c r="B49" s="4" t="s">
        <v>64</v>
      </c>
      <c r="C49" s="4" t="s">
        <v>303</v>
      </c>
      <c r="D49" s="17">
        <v>50</v>
      </c>
      <c r="E49" s="4"/>
      <c r="F49" s="4" t="s">
        <v>304</v>
      </c>
      <c r="G49" s="4"/>
    </row>
    <row r="50" spans="1:7">
      <c r="A50" s="4" t="s">
        <v>224</v>
      </c>
      <c r="B50" s="4" t="s">
        <v>66</v>
      </c>
      <c r="C50" s="4" t="s">
        <v>303</v>
      </c>
      <c r="D50" s="17">
        <v>50</v>
      </c>
      <c r="E50" s="4"/>
      <c r="F50" s="4" t="s">
        <v>304</v>
      </c>
      <c r="G50" s="4"/>
    </row>
    <row r="51" spans="1:7">
      <c r="A51" s="4" t="s">
        <v>225</v>
      </c>
      <c r="B51" s="4" t="s">
        <v>68</v>
      </c>
      <c r="C51" s="4" t="s">
        <v>310</v>
      </c>
      <c r="D51" s="17">
        <v>45</v>
      </c>
      <c r="E51" s="4" t="s">
        <v>409</v>
      </c>
      <c r="F51" s="4" t="s">
        <v>356</v>
      </c>
      <c r="G51" s="4"/>
    </row>
    <row r="52" spans="1:7">
      <c r="A52" s="4" t="s">
        <v>226</v>
      </c>
      <c r="B52" s="4" t="s">
        <v>70</v>
      </c>
      <c r="C52" s="4" t="s">
        <v>303</v>
      </c>
      <c r="D52" s="17">
        <v>50</v>
      </c>
      <c r="E52" s="4"/>
      <c r="F52" s="4" t="s">
        <v>304</v>
      </c>
      <c r="G52" s="4"/>
    </row>
    <row r="53" spans="1:7">
      <c r="A53" s="4" t="s">
        <v>227</v>
      </c>
      <c r="B53" s="4" t="s">
        <v>72</v>
      </c>
      <c r="C53" s="4" t="s">
        <v>359</v>
      </c>
      <c r="D53" s="17">
        <v>55</v>
      </c>
      <c r="E53" s="4" t="s">
        <v>410</v>
      </c>
      <c r="F53" s="4" t="s">
        <v>360</v>
      </c>
      <c r="G53" s="4"/>
    </row>
    <row r="54" spans="1:7">
      <c r="A54" s="4" t="s">
        <v>228</v>
      </c>
      <c r="B54" s="4" t="s">
        <v>74</v>
      </c>
      <c r="C54" s="4" t="s">
        <v>359</v>
      </c>
      <c r="D54" s="17">
        <v>55</v>
      </c>
      <c r="E54" s="4" t="s">
        <v>410</v>
      </c>
      <c r="F54" s="4" t="s">
        <v>360</v>
      </c>
      <c r="G54" s="4"/>
    </row>
    <row r="55" spans="1:7">
      <c r="A55" s="4" t="s">
        <v>229</v>
      </c>
      <c r="B55" s="4" t="s">
        <v>76</v>
      </c>
      <c r="C55" s="4" t="s">
        <v>314</v>
      </c>
      <c r="D55" s="17">
        <v>50</v>
      </c>
      <c r="E55" s="4"/>
      <c r="F55" s="4" t="s">
        <v>362</v>
      </c>
      <c r="G55" s="4"/>
    </row>
    <row r="56" spans="1:7">
      <c r="A56" s="4" t="s">
        <v>230</v>
      </c>
      <c r="B56" s="4" t="s">
        <v>78</v>
      </c>
      <c r="C56" s="4" t="s">
        <v>303</v>
      </c>
      <c r="D56" s="17">
        <v>50</v>
      </c>
      <c r="E56" s="4"/>
      <c r="F56" s="4" t="s">
        <v>304</v>
      </c>
      <c r="G56" s="4"/>
    </row>
    <row r="57" spans="1:7">
      <c r="A57" s="4" t="s">
        <v>231</v>
      </c>
      <c r="B57" s="4" t="s">
        <v>80</v>
      </c>
      <c r="C57" s="4" t="s">
        <v>303</v>
      </c>
      <c r="D57" s="17">
        <v>50</v>
      </c>
      <c r="E57" s="4"/>
      <c r="F57" s="4" t="s">
        <v>304</v>
      </c>
      <c r="G57" s="4"/>
    </row>
    <row r="58" spans="1:7">
      <c r="A58" s="4" t="s">
        <v>232</v>
      </c>
      <c r="B58" s="4" t="s">
        <v>82</v>
      </c>
      <c r="C58" s="4" t="s">
        <v>297</v>
      </c>
      <c r="D58" s="17">
        <v>50</v>
      </c>
      <c r="E58" s="4" t="s">
        <v>411</v>
      </c>
      <c r="F58" s="4" t="s">
        <v>364</v>
      </c>
      <c r="G58" s="4"/>
    </row>
    <row r="59" spans="1:7">
      <c r="A59" s="4" t="s">
        <v>233</v>
      </c>
      <c r="B59" s="4" t="s">
        <v>84</v>
      </c>
      <c r="C59" s="4" t="s">
        <v>366</v>
      </c>
      <c r="D59" s="17">
        <v>50</v>
      </c>
      <c r="E59" s="4" t="s">
        <v>412</v>
      </c>
      <c r="F59" s="4" t="s">
        <v>368</v>
      </c>
      <c r="G59" s="4"/>
    </row>
    <row r="60" spans="1:7">
      <c r="A60" s="4" t="s">
        <v>234</v>
      </c>
      <c r="B60" s="4" t="s">
        <v>86</v>
      </c>
      <c r="C60" s="4" t="s">
        <v>303</v>
      </c>
      <c r="D60" s="17">
        <v>50</v>
      </c>
      <c r="E60" s="4"/>
      <c r="F60" s="4" t="s">
        <v>304</v>
      </c>
      <c r="G60" s="4"/>
    </row>
    <row r="61" spans="1:7">
      <c r="A61" s="4" t="s">
        <v>235</v>
      </c>
      <c r="B61" s="4" t="s">
        <v>88</v>
      </c>
      <c r="C61" s="4" t="s">
        <v>303</v>
      </c>
      <c r="D61" s="17">
        <v>50</v>
      </c>
      <c r="E61" s="4"/>
      <c r="F61" s="4" t="s">
        <v>304</v>
      </c>
      <c r="G61" s="4"/>
    </row>
    <row r="62" spans="1:7">
      <c r="A62" s="4" t="s">
        <v>236</v>
      </c>
      <c r="B62" s="4" t="s">
        <v>90</v>
      </c>
      <c r="C62" s="4" t="s">
        <v>303</v>
      </c>
      <c r="D62" s="17">
        <v>50</v>
      </c>
      <c r="E62" s="4"/>
      <c r="F62" s="4" t="s">
        <v>304</v>
      </c>
      <c r="G62" s="4"/>
    </row>
    <row r="63" spans="1:7">
      <c r="A63" s="4" t="s">
        <v>237</v>
      </c>
      <c r="B63" s="4" t="s">
        <v>92</v>
      </c>
      <c r="C63" s="4" t="s">
        <v>278</v>
      </c>
      <c r="D63" s="17">
        <v>50</v>
      </c>
      <c r="E63" s="4"/>
      <c r="F63" s="4" t="s">
        <v>369</v>
      </c>
      <c r="G63" s="4"/>
    </row>
    <row r="64" spans="1:7">
      <c r="A64" s="4" t="s">
        <v>238</v>
      </c>
      <c r="B64" s="4" t="s">
        <v>94</v>
      </c>
      <c r="C64" s="4" t="s">
        <v>316</v>
      </c>
      <c r="D64" s="17">
        <v>40</v>
      </c>
      <c r="E64" s="4" t="s">
        <v>413</v>
      </c>
      <c r="F64" s="4" t="s">
        <v>372</v>
      </c>
      <c r="G64" s="4"/>
    </row>
    <row r="65" spans="1:7">
      <c r="A65" s="4" t="s">
        <v>239</v>
      </c>
      <c r="B65" s="4" t="s">
        <v>96</v>
      </c>
      <c r="C65" s="4" t="s">
        <v>303</v>
      </c>
      <c r="D65" s="17">
        <v>50</v>
      </c>
      <c r="E65" s="4"/>
      <c r="F65" s="4" t="s">
        <v>304</v>
      </c>
      <c r="G65" s="4"/>
    </row>
    <row r="66" spans="1:7">
      <c r="A66" s="4" t="s">
        <v>240</v>
      </c>
      <c r="B66" s="4" t="s">
        <v>98</v>
      </c>
      <c r="C66" s="4" t="s">
        <v>303</v>
      </c>
      <c r="D66" s="17">
        <v>50</v>
      </c>
      <c r="E66" s="4"/>
      <c r="F66" s="4" t="s">
        <v>304</v>
      </c>
      <c r="G66" s="4"/>
    </row>
    <row r="67" spans="1:7">
      <c r="A67" s="4" t="s">
        <v>241</v>
      </c>
      <c r="B67" s="4" t="s">
        <v>100</v>
      </c>
      <c r="C67" s="4" t="s">
        <v>278</v>
      </c>
      <c r="D67" s="17">
        <v>40</v>
      </c>
      <c r="E67" s="4"/>
      <c r="F67" s="4" t="s">
        <v>374</v>
      </c>
      <c r="G67" s="4"/>
    </row>
    <row r="68" spans="1:7">
      <c r="A68" s="4" t="s">
        <v>242</v>
      </c>
      <c r="B68" s="4" t="s">
        <v>102</v>
      </c>
      <c r="C68" s="4" t="s">
        <v>303</v>
      </c>
      <c r="D68" s="17">
        <v>50</v>
      </c>
      <c r="E68" s="4"/>
      <c r="F68" s="4" t="s">
        <v>304</v>
      </c>
      <c r="G68" s="4"/>
    </row>
    <row r="69" spans="1:7">
      <c r="A69" s="4" t="s">
        <v>243</v>
      </c>
      <c r="B69" s="4" t="s">
        <v>104</v>
      </c>
      <c r="C69" s="4" t="s">
        <v>303</v>
      </c>
      <c r="D69" s="17">
        <v>50</v>
      </c>
      <c r="E69" s="4"/>
      <c r="F69" s="4" t="s">
        <v>304</v>
      </c>
      <c r="G69" s="4"/>
    </row>
    <row r="70" spans="1:7">
      <c r="A70" s="4" t="s">
        <v>244</v>
      </c>
      <c r="B70" s="4" t="s">
        <v>106</v>
      </c>
      <c r="C70" s="4" t="s">
        <v>278</v>
      </c>
      <c r="D70" s="17">
        <v>45</v>
      </c>
      <c r="E70" s="4"/>
      <c r="F70" s="4" t="s">
        <v>376</v>
      </c>
      <c r="G70" s="4"/>
    </row>
    <row r="71" spans="1:7">
      <c r="A71" s="4" t="s">
        <v>245</v>
      </c>
      <c r="B71" s="4" t="s">
        <v>108</v>
      </c>
      <c r="C71" s="4" t="s">
        <v>303</v>
      </c>
      <c r="D71" s="17">
        <v>50</v>
      </c>
      <c r="E71" s="4"/>
      <c r="F71" s="4" t="s">
        <v>304</v>
      </c>
      <c r="G71" s="4"/>
    </row>
    <row r="72" spans="1:7">
      <c r="A72" s="4" t="s">
        <v>246</v>
      </c>
      <c r="B72" s="4" t="s">
        <v>110</v>
      </c>
      <c r="C72" s="4" t="s">
        <v>278</v>
      </c>
      <c r="D72" s="17">
        <v>60</v>
      </c>
      <c r="E72" s="4"/>
      <c r="F72" s="4" t="s">
        <v>378</v>
      </c>
      <c r="G72" s="4"/>
    </row>
    <row r="73" spans="1:7">
      <c r="A73" s="4" t="s">
        <v>247</v>
      </c>
      <c r="B73" s="4" t="s">
        <v>112</v>
      </c>
      <c r="C73" s="4" t="s">
        <v>278</v>
      </c>
      <c r="D73" s="17">
        <v>50</v>
      </c>
      <c r="E73" s="4"/>
      <c r="F73" s="4" t="s">
        <v>380</v>
      </c>
      <c r="G73" s="4"/>
    </row>
    <row r="74" spans="1:7">
      <c r="A74" s="4" t="s">
        <v>248</v>
      </c>
      <c r="B74" s="4" t="s">
        <v>114</v>
      </c>
      <c r="C74" s="4" t="s">
        <v>303</v>
      </c>
      <c r="D74" s="17">
        <v>50</v>
      </c>
      <c r="E74" s="4"/>
      <c r="F74" s="4" t="s">
        <v>304</v>
      </c>
      <c r="G74" s="4"/>
    </row>
    <row r="75" spans="1:7">
      <c r="A75" s="4" t="s">
        <v>249</v>
      </c>
      <c r="B75" s="4" t="s">
        <v>116</v>
      </c>
      <c r="C75" s="4" t="s">
        <v>385</v>
      </c>
      <c r="D75" s="17">
        <v>40</v>
      </c>
      <c r="E75" s="4"/>
      <c r="F75" s="4" t="s">
        <v>386</v>
      </c>
      <c r="G75" s="4"/>
    </row>
    <row r="76" spans="1:7">
      <c r="A76" s="4" t="s">
        <v>250</v>
      </c>
      <c r="B76" s="4" t="s">
        <v>118</v>
      </c>
      <c r="C76" s="4" t="s">
        <v>303</v>
      </c>
      <c r="D76" s="17">
        <v>50</v>
      </c>
      <c r="E76" s="4"/>
      <c r="F76" s="4" t="s">
        <v>304</v>
      </c>
      <c r="G76" s="4"/>
    </row>
    <row r="77" spans="1:7">
      <c r="A77" s="4" t="s">
        <v>251</v>
      </c>
      <c r="B77" s="4" t="s">
        <v>120</v>
      </c>
      <c r="C77" s="4" t="s">
        <v>278</v>
      </c>
      <c r="D77" s="17">
        <v>40</v>
      </c>
      <c r="E77" s="4"/>
      <c r="F77" s="4" t="s">
        <v>374</v>
      </c>
      <c r="G77" s="4"/>
    </row>
    <row r="78" spans="1:7">
      <c r="A78" s="4" t="s">
        <v>252</v>
      </c>
      <c r="B78" s="4" t="s">
        <v>122</v>
      </c>
      <c r="C78" s="4" t="s">
        <v>278</v>
      </c>
      <c r="D78" s="17">
        <v>40</v>
      </c>
      <c r="E78" s="4"/>
      <c r="F78" s="4" t="s">
        <v>374</v>
      </c>
      <c r="G78" s="4"/>
    </row>
    <row r="79" spans="1:7">
      <c r="A79" s="4" t="s">
        <v>253</v>
      </c>
      <c r="B79" s="4" t="s">
        <v>124</v>
      </c>
      <c r="C79" s="4" t="s">
        <v>310</v>
      </c>
      <c r="D79" s="17">
        <v>45</v>
      </c>
      <c r="E79" s="4" t="s">
        <v>414</v>
      </c>
      <c r="F79" s="4" t="s">
        <v>389</v>
      </c>
      <c r="G79" s="4"/>
    </row>
    <row r="80" spans="1:7">
      <c r="A80" s="4" t="s">
        <v>254</v>
      </c>
      <c r="B80" s="4" t="s">
        <v>126</v>
      </c>
      <c r="C80" s="4" t="s">
        <v>303</v>
      </c>
      <c r="D80" s="17">
        <v>50</v>
      </c>
      <c r="E80" s="4"/>
      <c r="F80" s="4" t="s">
        <v>304</v>
      </c>
      <c r="G80" s="4"/>
    </row>
    <row r="81" spans="1:7">
      <c r="A81" s="4" t="s">
        <v>255</v>
      </c>
      <c r="B81" s="4" t="s">
        <v>128</v>
      </c>
      <c r="C81" s="4" t="s">
        <v>310</v>
      </c>
      <c r="D81" s="17">
        <v>50</v>
      </c>
      <c r="E81" s="4" t="s">
        <v>409</v>
      </c>
      <c r="F81" s="4" t="s">
        <v>355</v>
      </c>
      <c r="G81" s="4"/>
    </row>
    <row r="82" spans="1:7">
      <c r="A82" s="4" t="s">
        <v>256</v>
      </c>
      <c r="B82" s="4" t="s">
        <v>130</v>
      </c>
      <c r="C82" s="4" t="s">
        <v>303</v>
      </c>
      <c r="D82" s="17">
        <v>50</v>
      </c>
      <c r="E82" s="4"/>
      <c r="F82" s="4" t="s">
        <v>304</v>
      </c>
      <c r="G82" s="4"/>
    </row>
    <row r="83" spans="1:7">
      <c r="A83" s="4" t="s">
        <v>257</v>
      </c>
      <c r="B83" s="4" t="s">
        <v>132</v>
      </c>
      <c r="C83" s="4" t="s">
        <v>303</v>
      </c>
      <c r="D83" s="17">
        <v>50</v>
      </c>
      <c r="E83" s="4"/>
      <c r="F83" s="4" t="s">
        <v>304</v>
      </c>
      <c r="G83" s="4"/>
    </row>
    <row r="84" spans="1:7">
      <c r="A84" s="4" t="s">
        <v>258</v>
      </c>
      <c r="B84" s="4" t="s">
        <v>134</v>
      </c>
      <c r="C84" s="4" t="s">
        <v>325</v>
      </c>
      <c r="D84" s="17">
        <v>50</v>
      </c>
      <c r="E84" s="4"/>
      <c r="F84" s="4" t="s">
        <v>327</v>
      </c>
      <c r="G84" s="4"/>
    </row>
    <row r="85" spans="1:7">
      <c r="A85" s="4" t="s">
        <v>259</v>
      </c>
      <c r="B85" s="4" t="s">
        <v>136</v>
      </c>
      <c r="C85" s="4" t="s">
        <v>325</v>
      </c>
      <c r="D85" s="17">
        <v>50</v>
      </c>
      <c r="E85" s="4"/>
      <c r="F85" s="4" t="s">
        <v>327</v>
      </c>
      <c r="G85" s="4"/>
    </row>
    <row r="86" spans="1:7">
      <c r="A86" s="4" t="s">
        <v>260</v>
      </c>
      <c r="B86" s="4" t="s">
        <v>138</v>
      </c>
      <c r="C86" s="4" t="s">
        <v>303</v>
      </c>
      <c r="D86" s="17">
        <v>50</v>
      </c>
      <c r="E86" s="4"/>
      <c r="F86" s="4" t="s">
        <v>304</v>
      </c>
      <c r="G86" s="4"/>
    </row>
    <row r="87" spans="1:7">
      <c r="A87" s="4" t="s">
        <v>261</v>
      </c>
      <c r="B87" s="4" t="s">
        <v>140</v>
      </c>
      <c r="C87" s="4" t="s">
        <v>278</v>
      </c>
      <c r="D87" s="17">
        <v>40</v>
      </c>
      <c r="E87" s="4"/>
      <c r="F87" s="4" t="s">
        <v>374</v>
      </c>
      <c r="G87" s="4"/>
    </row>
    <row r="88" spans="1:7" ht="27.6">
      <c r="A88" s="4" t="s">
        <v>262</v>
      </c>
      <c r="B88" s="4" t="s">
        <v>142</v>
      </c>
      <c r="C88" s="4" t="s">
        <v>395</v>
      </c>
      <c r="D88" s="17">
        <v>40</v>
      </c>
      <c r="E88" s="4"/>
      <c r="F88" s="4" t="s">
        <v>396</v>
      </c>
      <c r="G88" s="4"/>
    </row>
    <row r="89" spans="1:7">
      <c r="A89" s="4" t="s">
        <v>263</v>
      </c>
      <c r="B89" s="4" t="s">
        <v>146</v>
      </c>
      <c r="C89" s="4" t="s">
        <v>303</v>
      </c>
      <c r="D89" s="17">
        <v>50</v>
      </c>
      <c r="E89" s="4"/>
      <c r="F89" s="4" t="s">
        <v>304</v>
      </c>
      <c r="G89" s="4"/>
    </row>
    <row r="90" spans="1:7">
      <c r="A90" s="4" t="s">
        <v>264</v>
      </c>
      <c r="B90" s="4" t="s">
        <v>148</v>
      </c>
      <c r="C90" s="4" t="s">
        <v>303</v>
      </c>
      <c r="D90" s="17">
        <v>50</v>
      </c>
      <c r="E90" s="4"/>
      <c r="F90" s="4" t="s">
        <v>304</v>
      </c>
      <c r="G90" s="4"/>
    </row>
    <row r="91" spans="1:7">
      <c r="A91" s="4" t="s">
        <v>265</v>
      </c>
      <c r="B91" s="4" t="s">
        <v>150</v>
      </c>
      <c r="C91" s="4" t="s">
        <v>303</v>
      </c>
      <c r="D91" s="17">
        <v>50</v>
      </c>
      <c r="E91" s="4"/>
      <c r="F91" s="4" t="s">
        <v>304</v>
      </c>
      <c r="G91" s="4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baseColWidth="10" defaultColWidth="8.796875" defaultRowHeight="13.8"/>
  <cols>
    <col min="1" max="1" width="16" customWidth="1"/>
    <col min="2" max="2" width="18" customWidth="1"/>
    <col min="3" max="3" width="32" customWidth="1"/>
  </cols>
  <sheetData>
    <row r="1" spans="1:3" ht="22.35" customHeight="1">
      <c r="A1" s="5" t="s">
        <v>415</v>
      </c>
      <c r="B1" s="5" t="s">
        <v>416</v>
      </c>
      <c r="C1" s="5" t="s">
        <v>15</v>
      </c>
    </row>
    <row r="2" spans="1:3">
      <c r="A2" s="2" t="s">
        <v>417</v>
      </c>
      <c r="B2" s="2" t="s">
        <v>279</v>
      </c>
      <c r="C2" s="2" t="s">
        <v>418</v>
      </c>
    </row>
    <row r="3" spans="1:3">
      <c r="A3" s="2" t="s">
        <v>419</v>
      </c>
      <c r="B3" s="2" t="s">
        <v>279</v>
      </c>
      <c r="C3" s="2" t="s">
        <v>418</v>
      </c>
    </row>
    <row r="4" spans="1:3">
      <c r="A4" s="2" t="s">
        <v>279</v>
      </c>
      <c r="B4" s="2" t="s">
        <v>279</v>
      </c>
      <c r="C4" s="2" t="s">
        <v>418</v>
      </c>
    </row>
    <row r="5" spans="1:3">
      <c r="A5" s="2" t="s">
        <v>420</v>
      </c>
      <c r="B5" s="2" t="s">
        <v>292</v>
      </c>
      <c r="C5" s="2" t="s">
        <v>421</v>
      </c>
    </row>
    <row r="6" spans="1:3">
      <c r="A6" s="2" t="s">
        <v>292</v>
      </c>
      <c r="B6" s="2" t="s">
        <v>292</v>
      </c>
      <c r="C6" s="2" t="s">
        <v>421</v>
      </c>
    </row>
    <row r="7" spans="1:3">
      <c r="A7" s="2" t="s">
        <v>422</v>
      </c>
      <c r="B7" s="2" t="s">
        <v>311</v>
      </c>
      <c r="C7" s="2" t="s">
        <v>24</v>
      </c>
    </row>
    <row r="8" spans="1:3">
      <c r="A8" s="2" t="s">
        <v>311</v>
      </c>
      <c r="B8" s="2" t="s">
        <v>311</v>
      </c>
      <c r="C8" s="2" t="s">
        <v>24</v>
      </c>
    </row>
    <row r="9" spans="1:3">
      <c r="A9" s="2" t="s">
        <v>423</v>
      </c>
      <c r="B9" s="2" t="s">
        <v>317</v>
      </c>
      <c r="C9" s="2" t="s">
        <v>27</v>
      </c>
    </row>
    <row r="10" spans="1:3">
      <c r="A10" s="2" t="s">
        <v>317</v>
      </c>
      <c r="B10" s="2" t="s">
        <v>317</v>
      </c>
      <c r="C10" s="2" t="s">
        <v>27</v>
      </c>
    </row>
    <row r="11" spans="1:3">
      <c r="A11" s="2" t="s">
        <v>424</v>
      </c>
      <c r="B11" s="2" t="s">
        <v>301</v>
      </c>
      <c r="C11" s="2" t="s">
        <v>30</v>
      </c>
    </row>
    <row r="12" spans="1:3">
      <c r="A12" s="2" t="s">
        <v>301</v>
      </c>
      <c r="B12" s="2" t="s">
        <v>301</v>
      </c>
      <c r="C12" s="2" t="s">
        <v>30</v>
      </c>
    </row>
    <row r="13" spans="1:3">
      <c r="A13" s="2" t="s">
        <v>425</v>
      </c>
      <c r="B13" s="2" t="s">
        <v>326</v>
      </c>
      <c r="C13" s="2" t="s">
        <v>426</v>
      </c>
    </row>
    <row r="14" spans="1:3">
      <c r="A14" s="2" t="s">
        <v>326</v>
      </c>
      <c r="B14" s="2" t="s">
        <v>326</v>
      </c>
      <c r="C14" s="2" t="s">
        <v>426</v>
      </c>
    </row>
    <row r="15" spans="1:3">
      <c r="A15" s="2" t="s">
        <v>427</v>
      </c>
      <c r="B15" s="2" t="s">
        <v>367</v>
      </c>
      <c r="C15" s="2" t="s">
        <v>35</v>
      </c>
    </row>
    <row r="16" spans="1:3">
      <c r="A16" s="2" t="s">
        <v>367</v>
      </c>
      <c r="B16" s="2" t="s">
        <v>367</v>
      </c>
      <c r="C16" s="2" t="s">
        <v>35</v>
      </c>
    </row>
    <row r="17" spans="1:3">
      <c r="A17" s="2" t="s">
        <v>36</v>
      </c>
      <c r="B17" s="2" t="s">
        <v>36</v>
      </c>
      <c r="C17" s="2" t="s">
        <v>37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/>
  </sheetViews>
  <sheetFormatPr baseColWidth="10" defaultColWidth="8.796875" defaultRowHeight="13.8"/>
  <cols>
    <col min="1" max="2" width="28" customWidth="1"/>
    <col min="3" max="3" width="26" customWidth="1"/>
    <col min="4" max="4" width="60" customWidth="1"/>
  </cols>
  <sheetData>
    <row r="1" spans="1:4" ht="22.35" customHeight="1">
      <c r="A1" s="5" t="s">
        <v>428</v>
      </c>
      <c r="B1" s="5" t="s">
        <v>429</v>
      </c>
      <c r="C1" s="5" t="s">
        <v>166</v>
      </c>
      <c r="D1" s="5" t="s">
        <v>430</v>
      </c>
    </row>
    <row r="2" spans="1:4">
      <c r="A2" s="4" t="s">
        <v>276</v>
      </c>
      <c r="B2" s="4" t="s">
        <v>61</v>
      </c>
      <c r="C2" s="4" t="s">
        <v>174</v>
      </c>
      <c r="D2" s="4" t="s">
        <v>431</v>
      </c>
    </row>
    <row r="3" spans="1:4">
      <c r="A3" s="4" t="s">
        <v>432</v>
      </c>
      <c r="B3" s="4" t="s">
        <v>121</v>
      </c>
      <c r="C3" s="4" t="s">
        <v>205</v>
      </c>
      <c r="D3" s="4" t="s">
        <v>433</v>
      </c>
    </row>
    <row r="4" spans="1:4">
      <c r="A4" s="4" t="s">
        <v>336</v>
      </c>
      <c r="B4" s="4" t="s">
        <v>121</v>
      </c>
      <c r="C4" s="4" t="s">
        <v>205</v>
      </c>
      <c r="D4" s="4" t="s">
        <v>434</v>
      </c>
    </row>
    <row r="5" spans="1:4">
      <c r="A5" s="4" t="s">
        <v>435</v>
      </c>
      <c r="B5" s="4" t="s">
        <v>136</v>
      </c>
      <c r="C5" s="4" t="s">
        <v>259</v>
      </c>
      <c r="D5" s="4" t="s">
        <v>436</v>
      </c>
    </row>
    <row r="6" spans="1:4">
      <c r="A6" s="4" t="s">
        <v>437</v>
      </c>
      <c r="B6" s="4" t="s">
        <v>134</v>
      </c>
      <c r="C6" s="4" t="s">
        <v>258</v>
      </c>
      <c r="D6" s="4" t="s">
        <v>438</v>
      </c>
    </row>
    <row r="7" spans="1:4">
      <c r="A7" s="4" t="s">
        <v>439</v>
      </c>
      <c r="B7" s="4" t="s">
        <v>76</v>
      </c>
      <c r="C7" s="4" t="s">
        <v>229</v>
      </c>
      <c r="D7" s="4" t="s">
        <v>440</v>
      </c>
    </row>
    <row r="8" spans="1:4">
      <c r="A8" s="4" t="s">
        <v>94</v>
      </c>
      <c r="B8" s="4" t="s">
        <v>370</v>
      </c>
      <c r="C8" s="4" t="s">
        <v>238</v>
      </c>
      <c r="D8" s="4" t="s">
        <v>441</v>
      </c>
    </row>
    <row r="9" spans="1:4">
      <c r="A9" s="4" t="s">
        <v>124</v>
      </c>
      <c r="B9" s="4" t="s">
        <v>387</v>
      </c>
      <c r="C9" s="4" t="s">
        <v>253</v>
      </c>
      <c r="D9" s="4" t="s">
        <v>442</v>
      </c>
    </row>
    <row r="10" spans="1:4">
      <c r="A10" s="4" t="s">
        <v>142</v>
      </c>
      <c r="B10" s="4" t="s">
        <v>393</v>
      </c>
      <c r="C10" s="4" t="s">
        <v>262</v>
      </c>
      <c r="D10" s="4" t="s">
        <v>443</v>
      </c>
    </row>
    <row r="11" spans="1:4">
      <c r="A11" s="4" t="s">
        <v>144</v>
      </c>
      <c r="B11" s="4" t="s">
        <v>393</v>
      </c>
      <c r="C11" s="4" t="s">
        <v>262</v>
      </c>
      <c r="D11" s="4" t="s">
        <v>443</v>
      </c>
    </row>
    <row r="12" spans="1:4">
      <c r="A12" s="4" t="s">
        <v>116</v>
      </c>
      <c r="B12" s="4" t="s">
        <v>382</v>
      </c>
      <c r="C12" s="4" t="s">
        <v>249</v>
      </c>
      <c r="D12" s="4" t="s">
        <v>444</v>
      </c>
    </row>
    <row r="13" spans="1:4">
      <c r="A13" s="4" t="s">
        <v>84</v>
      </c>
      <c r="B13" s="4" t="s">
        <v>445</v>
      </c>
      <c r="C13" s="4" t="s">
        <v>233</v>
      </c>
      <c r="D13" s="4" t="s">
        <v>446</v>
      </c>
    </row>
    <row r="14" spans="1:4">
      <c r="A14" s="4" t="s">
        <v>151</v>
      </c>
      <c r="B14" s="4" t="s">
        <v>447</v>
      </c>
      <c r="C14" s="4" t="s">
        <v>220</v>
      </c>
      <c r="D14" s="4" t="s">
        <v>448</v>
      </c>
    </row>
    <row r="15" spans="1:4">
      <c r="A15" s="4" t="s">
        <v>133</v>
      </c>
      <c r="B15" s="4" t="s">
        <v>449</v>
      </c>
      <c r="C15" s="4" t="s">
        <v>211</v>
      </c>
      <c r="D15" s="4" t="s">
        <v>450</v>
      </c>
    </row>
    <row r="16" spans="1:4">
      <c r="A16" s="4" t="s">
        <v>128</v>
      </c>
      <c r="B16" s="4" t="s">
        <v>451</v>
      </c>
      <c r="C16" s="4" t="s">
        <v>255</v>
      </c>
      <c r="D16" s="4" t="s">
        <v>452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INSTRUCCIONES</vt:lpstr>
      <vt:lpstr>DATOS_LOTE</vt:lpstr>
      <vt:lpstr>FACTURA_LIMPIA</vt:lpstr>
      <vt:lpstr>IMPORT_APP</vt:lpstr>
      <vt:lpstr>MAPEO_APP</vt:lpstr>
      <vt:lpstr>REGLAS_PRECIOS</vt:lpstr>
      <vt:lpstr>UNIDADES</vt:lpstr>
      <vt:lpstr>ALIAS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Mecathron</cp:lastModifiedBy>
  <dcterms:modified xsi:type="dcterms:W3CDTF">2026-06-16T02:09:56Z</dcterms:modified>
</cp:coreProperties>
</file>