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ccd829ae8c45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b01508d87d7a4474"/>
    <x:sheet xmlns:r="http://schemas.openxmlformats.org/officeDocument/2006/relationships" name="DATOS_LOTE" sheetId="2" r:id="Rdafac4011d544e13"/>
    <x:sheet xmlns:r="http://schemas.openxmlformats.org/officeDocument/2006/relationships" name="FACTURA_LIMPIA" sheetId="3" r:id="Rf7209a14cdb24e3b"/>
    <x:sheet xmlns:r="http://schemas.openxmlformats.org/officeDocument/2006/relationships" name="IMPORT_APP" sheetId="4" r:id="R6167b80533024e00"/>
    <x:sheet xmlns:r="http://schemas.openxmlformats.org/officeDocument/2006/relationships" name="MAPEO_APP" sheetId="5" r:id="R23463d7ec87d48a8"/>
    <x:sheet xmlns:r="http://schemas.openxmlformats.org/officeDocument/2006/relationships" name="REGLAS_PRECIOS" sheetId="6" r:id="Ra8287e371af64603"/>
    <x:sheet xmlns:r="http://schemas.openxmlformats.org/officeDocument/2006/relationships" name="UNIDADES" sheetId="7" r:id="Ra0c173f7627f4eff"/>
    <x:sheet xmlns:r="http://schemas.openxmlformats.org/officeDocument/2006/relationships" name="ALIAS" sheetId="8" r:id="Rbb56b5d4d00a49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"/>
    <x:numFmt numFmtId="202" formatCode="$ #,##0"/>
    <x:numFmt numFmtId="203" formatCode="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65F35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sz val="11"/>
      <x:color rgb="FF11182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87B42"/>
      </x:patternFill>
    </x:fill>
    <x:fill>
      <x:patternFill patternType="solid">
        <x:fgColor rgb="FFE8F5EE"/>
      </x:patternFill>
    </x:fill>
    <x:fill>
      <x:patternFill patternType="solid">
        <x:fgColor rgb="FFF3F4F6"/>
      </x:patternFill>
    </x:fill>
    <x:fill>
      <x:patternFill patternType="solid">
        <x:fgColor rgb="FFFFFFFF"/>
      </x:patternFill>
    </x:fill>
    <x:fill>
      <x:patternFill patternType="solid">
        <x:fgColor rgb="FFFFF8D6"/>
      </x:patternFill>
    </x:fill>
    <x:fill>
      <x:patternFill patternType="solid">
        <x:fgColor rgb="FFDCFCE7"/>
      </x:patternFill>
    </x:fill>
    <x:fill>
      <x:patternFill patternType="solid">
        <x:fgColor rgb="FFF2EDF7"/>
      </x:patternFill>
    </x:fill>
  </x:fills>
  <x:borders count="2">
    <x:border/>
    <x:border/>
  </x:borders>
  <x:cellStyleXfs count="1">
    <x:xf numFmtId="0" fontId="0" fillId="0" borderId="0"/>
  </x:cellStyleXfs>
  <x:cellXfs count="10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200" fontId="0" fillId="6" borderId="0" xfId="0" applyNumberFormat="1" applyFont="1" applyFill="1" applyBorder="1" applyAlignment="1">
      <x:alignment horizontal="center" vertical="center"/>
    </x:xf>
    <x:xf numFmtId="200" fontId="0" fillId="6" borderId="1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center" wrapText="1"/>
    </x:xf>
    <x:xf numFmtId="201" fontId="0" fillId="6" borderId="0" xfId="0" applyNumberFormat="1" applyFont="1" applyFill="1" applyBorder="1" applyAlignment="1">
      <x:alignment horizontal="center" vertical="center"/>
    </x:xf>
    <x:xf numFmtId="201" fontId="0" fillId="6" borderId="1" xfId="0" applyNumberFormat="1" applyFont="1" applyFill="1" applyBorder="1" applyAlignment="1">
      <x:alignment horizontal="center" vertical="center"/>
    </x:xf>
    <x:xf numFmtId="202" fontId="0" fillId="6" borderId="0" xfId="0" applyNumberFormat="1" applyFont="1" applyFill="1" applyBorder="1" applyAlignment="1">
      <x:alignment horizontal="center" vertical="center"/>
    </x:xf>
    <x:xf numFmtId="202" fontId="0" fillId="6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7" borderId="0" xfId="0" applyNumberFormat="1" applyFont="1" applyFill="1" applyBorder="1"/>
    <x:xf numFmtId="202" fontId="0" fillId="7" borderId="0" xfId="0" applyNumberFormat="1" applyFont="1" applyFill="1" applyBorder="1"/>
    <x:xf numFmtId="0" fontId="2" fillId="7" borderId="0" xfId="0" applyNumberFormat="1" applyFont="1" applyFill="1" applyBorder="1"/>
    <x:xf numFmtId="202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202" fontId="2" fillId="7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vertical="center"/>
    </x:xf>
    <x:xf numFmtId="202" fontId="2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202" fontId="0" fillId="7" borderId="1" xfId="0" applyNumberFormat="1" applyFont="1" applyFill="1" applyBorder="1"/>
    <x:xf numFmtId="0" fontId="2" fillId="7" borderId="1" xfId="0" applyNumberFormat="1" applyFont="1" applyFill="1" applyBorder="1"/>
    <x:xf numFmtId="202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horizontal="center"/>
    </x:xf>
    <x:xf numFmtId="202" fontId="2" fillId="7" borderId="1" xfId="0" applyNumberFormat="1" applyFont="1" applyFill="1" applyBorder="1" applyAlignment="1">
      <x:alignment horizontal="center"/>
    </x:xf>
    <x:xf numFmtId="0" fontId="2" fillId="7" borderId="1" xfId="0" applyNumberFormat="1" applyFont="1" applyFill="1" applyBorder="1" applyAlignment="1">
      <x:alignment horizontal="center" vertical="center"/>
    </x:xf>
    <x:xf numFmtId="202" fontId="2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FFFEE2E2"/>
        </x:patternFill>
      </x:fill>
    </x:dxf>
    <x:dxf>
      <x:fill>
        <x:patternFill patternType="solid">
          <x:bgColor rgb="FFFFEDD5"/>
        </x:patternFill>
      </x:fill>
    </x:dxf>
    <x:dxf>
      <x:fill>
        <x:patternFill patternType="solid">
          <x:bgColor rgb="FFF2EDF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b6851ed9f340ee" /><Relationship Type="http://schemas.openxmlformats.org/officeDocument/2006/relationships/theme" Target="/xl/theme/theme1.xml" Id="R32555e9068144d36" /><Relationship Type="http://schemas.openxmlformats.org/officeDocument/2006/relationships/sharedStrings" Target="/xl/sharedStrings.xml" Id="R1089d113d15c4ee9" /><Relationship Type="http://schemas.openxmlformats.org/officeDocument/2006/relationships/worksheet" Target="/xl/worksheets/sheet1.xml" Id="Rb01508d87d7a4474" /><Relationship Type="http://schemas.openxmlformats.org/officeDocument/2006/relationships/worksheet" Target="/xl/worksheets/sheet2.xml" Id="Rdafac4011d544e13" /><Relationship Type="http://schemas.openxmlformats.org/officeDocument/2006/relationships/worksheet" Target="/xl/worksheets/sheet3.xml" Id="Rf7209a14cdb24e3b" /><Relationship Type="http://schemas.openxmlformats.org/officeDocument/2006/relationships/worksheet" Target="/xl/worksheets/sheet4.xml" Id="R6167b80533024e00" /><Relationship Type="http://schemas.openxmlformats.org/officeDocument/2006/relationships/worksheet" Target="/xl/worksheets/sheet5.xml" Id="R23463d7ec87d48a8" /><Relationship Type="http://schemas.openxmlformats.org/officeDocument/2006/relationships/worksheet" Target="/xl/worksheets/sheet6.xml" Id="Ra8287e371af64603" /><Relationship Type="http://schemas.openxmlformats.org/officeDocument/2006/relationships/worksheet" Target="/xl/worksheets/sheet7.xml" Id="Ra0c173f7627f4eff" /><Relationship Type="http://schemas.openxmlformats.org/officeDocument/2006/relationships/worksheet" Target="/xl/worksheets/sheet8.xml" Id="Rbb56b5d4d00a49cd" /></Relationships>
</file>

<file path=xl/tables/table1.xml><?xml version="1.0" encoding="utf-8"?>
<x:table xmlns:x="http://schemas.openxmlformats.org/spreadsheetml/2006/main" id="1" name="ImportAppTable" displayName="ImportAppTable" ref="A1:L92" headerRowCount="1">
  <x:tableColumns count="12">
    <x:tableColumn id="1" name="formato"/>
    <x:tableColumn id="2" name="version"/>
    <x:tableColumn id="3" name="numeroFactura"/>
    <x:tableColumn id="4" name="fechaLote"/>
    <x:tableColumn id="5" name="seccion"/>
    <x:tableColumn id="6" name="filaExcel"/>
    <x:tableColumn id="7" name="productoPlantilla"/>
    <x:tableColumn id="8" name="productoClave"/>
    <x:tableColumn id="9" name="cantidad"/>
    <x:tableColumn id="10" name="medida"/>
    <x:tableColumn id="11" name="totalCompra"/>
    <x:tableColumn id="12" name="observacion"/>
  </x:tableColumns>
  <x:tableStyleInfo name="TableStyleMedium2" showRowStripes="1"/>
</x:table>
</file>

<file path=xl/tables/table2.xml><?xml version="1.0" encoding="utf-8"?>
<x:table xmlns:x="http://schemas.openxmlformats.org/spreadsheetml/2006/main" id="2" name="MapeoAppTable" displayName="MapeoAppTable" ref="A1:M92" headerRowCount="1">
  <x:tableColumns count="13">
    <x:tableColumn id="1" name="seccion"/>
    <x:tableColumn id="2" name="filaExcel"/>
    <x:tableColumn id="3" name="productoPlantilla"/>
    <x:tableColumn id="4" name="productoClave"/>
    <x:tableColumn id="5" name="estado"/>
    <x:tableColumn id="6" name="productoAppPrincipal"/>
    <x:tableColumn id="7" name="appProductId"/>
    <x:tableColumn id="8" name="productosVinculados"/>
    <x:tableColumn id="9" name="regla"/>
    <x:tableColumn id="10" name="margenObjetivo"/>
    <x:tableColumn id="11" name="unidadCompraSugerida"/>
    <x:tableColumn id="12" name="unidadVentaSugerida"/>
    <x:tableColumn id="13" name="nota"/>
  </x:tableColumns>
  <x:tableStyleInfo name="TableStyleMedium2" showRowStripes="1"/>
</x:table>
</file>

<file path=xl/tables/table3.xml><?xml version="1.0" encoding="utf-8"?>
<x:table xmlns:x="http://schemas.openxmlformats.org/spreadsheetml/2006/main" id="3" name="ReglasPreciosTable" displayName="ReglasPreciosTable" ref="A1:G91" headerRowCount="1">
  <x:tableColumns count="7">
    <x:tableColumn id="1" name="productoClave"/>
    <x:tableColumn id="2" name="productoReferencia"/>
    <x:tableColumn id="3" name="tipoRegla"/>
    <x:tableColumn id="4" name="margenObjetivo"/>
    <x:tableColumn id="5" name="defaultConversion"/>
    <x:tableColumn id="6" name="formula/resumen"/>
    <x:tableColumn id="7" name="observacion"/>
  </x:tableColumns>
  <x:tableStyleInfo name="TableStyleMedium2" showRowStripes="1"/>
</x:table>
</file>

<file path=xl/tables/table4.xml><?xml version="1.0" encoding="utf-8"?>
<x:table xmlns:x="http://schemas.openxmlformats.org/spreadsheetml/2006/main" id="4" name="UnidadesTable" displayName="UnidadesTable" ref="A1:C17" headerRowCount="1">
  <x:tableColumns count="3">
    <x:tableColumn id="1" name="Codigo"/>
    <x:tableColumn id="2" name="Normaliza como"/>
    <x:tableColumn id="3" name="Uso"/>
  </x:tableColumns>
  <x:tableStyleInfo name="TableStyleMedium2" showRowStripes="1"/>
</x:table>
</file>

<file path=xl/tables/table5.xml><?xml version="1.0" encoding="utf-8"?>
<x:table xmlns:x="http://schemas.openxmlformats.org/spreadsheetml/2006/main" id="5" name="AliasTable" displayName="AliasTable" ref="A1:D16" headerRowCount="1">
  <x:tableColumns count="4">
    <x:tableColumn id="1" name="Texto recibido / anterior"/>
    <x:tableColumn id="2" name="Producto correcto"/>
    <x:tableColumn id="3" name="productoClave"/>
    <x:tableColumn id="4" name="No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34d41cffa5ed4e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b10de55f57de40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7c0313b4ff2c4d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6bbf2bc72ac744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4fad452d6e13423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 ht="34" customHeight="1">
      <x:c r="A1" s="5" t="str">
        <x:v>Plantilla oficial de compras por lote — La Abundancia v1.39.1</x:v>
      </x:c>
    </x:row>
    <x:row r="3" ht="42" customHeight="1">
      <x:c r="A3" s="22" t="str">
        <x:v>Uso principal</x:v>
      </x:c>
      <x:c r="B3" s="23" t="str">
        <x:v>Editar el Excel oficial, llenar cantidad, medida y total de compra; luego subir el archivo .xlsx en Calculadora &gt; Cálculo de Precios por Lote.</x:v>
      </x:c>
    </x:row>
    <x:row r="4" ht="42" customHeight="1">
      <x:c r="A4" s="22" t="str">
        <x:v>Qué sí editar</x:v>
      </x:c>
      <x:c r="B4" s="23" t="str">
        <x:v>DATOS_LOTE: número, fecha y proveedor. FACTURA_LIMPIA: columnas CANT., MEDIDA y TOTAL de cada producto.</x:v>
      </x:c>
    </x:row>
    <x:row r="5" ht="42" customHeight="1">
      <x:c r="A5" s="22" t="str">
        <x:v>Qué no editar</x:v>
      </x:c>
      <x:c r="B5" s="23" t="str">
        <x:v>No cambiar nombres de productos, filas, columnas, hojas técnicas, claves ni fórmulas. La app usa esas posiciones para conectar con los IDs.</x:v>
      </x:c>
    </x:row>
    <x:row r="6" ht="42" customHeight="1">
      <x:c r="A6" s="22" t="str">
        <x:v>Formato recomendado</x:v>
      </x:c>
      <x:c r="B6" s="23" t="str">
        <x:v>Subir este archivo .xlsx directamente. La hoja IMPORT_APP queda como respaldo técnico, pero la app puede leer FACTURA_LIMPIA por posiciones fijas.</x:v>
      </x:c>
    </x:row>
    <x:row r="7" ht="42" customHeight="1">
      <x:c r="A7" s="22" t="str">
        <x:v>GitHub</x:v>
      </x:c>
      <x:c r="B7" s="23" t="str">
        <x:v>Buena idea subir este archivo a GitHub como plantilla oficial. Usa un nombre estable para que la app pueda descargarlo o abrirlo desde un enlace fijo.</x:v>
      </x:c>
    </x:row>
    <x:row r="8" ht="42" customHeight="1">
      <x:c r="A8" s="22" t="str">
        <x:v>Seguridad</x:v>
      </x:c>
      <x:c r="B8" s="23" t="str">
        <x:v>La importación en la app debe quedar en borrador. Nada se actualiza en productos/inventario hasta revisar y confirmar con PIN.</x:v>
      </x:c>
    </x:row>
    <x:row r="10" ht="26" customHeight="1">
      <x:c r="D10" s="29" t="str">
        <x:v>Flujo recomendado</x:v>
      </x:c>
    </x:row>
    <x:row r="11" ht="26" customHeight="1">
      <x:c r="A11" s="29" t="str">
        <x:v>Unidad permitida</x:v>
      </x:c>
      <x:c r="B11" s="29" t="str">
        <x:v>Uso</x:v>
      </x:c>
      <x:c r="D11" s="36" t="str">
        <x:v>1. Descarga este Excel oficial desde GitHub o desde la app.</x:v>
      </x:c>
      <x:c r="E11" s="36"/>
      <x:c r="F11" s="36"/>
      <x:c r="G11" s="36"/>
      <x:c r="H11" s="36"/>
    </x:row>
    <x:row r="12" ht="26" customHeight="1">
      <x:c r="A12" s="41" t="str">
        <x:v>KG / KL / KILO</x:v>
      </x:c>
      <x:c r="B12" s="41" t="str">
        <x:v>Compra por kilo</x:v>
      </x:c>
      <x:c r="D12" s="36" t="str">
        <x:v>2. Llena DATOS_LOTE.</x:v>
      </x:c>
      <x:c r="E12" s="36"/>
      <x:c r="F12" s="36"/>
      <x:c r="G12" s="36"/>
      <x:c r="H12" s="36"/>
    </x:row>
    <x:row r="13" ht="26" customHeight="1">
      <x:c r="A13" s="41" t="str">
        <x:v>UND / UNIDAD</x:v>
      </x:c>
      <x:c r="B13" s="41" t="str">
        <x:v>Compra por unidad</x:v>
      </x:c>
      <x:c r="D13" s="36" t="str">
        <x:v>3. En FACTURA_LIMPIA llena solo CANT., MEDIDA y TOTAL.</x:v>
      </x:c>
      <x:c r="E13" s="36"/>
      <x:c r="F13" s="36"/>
      <x:c r="G13" s="36"/>
      <x:c r="H13" s="36"/>
    </x:row>
    <x:row r="14" ht="26" customHeight="1">
      <x:c r="A14" s="41" t="str">
        <x:v>CJ / CAJA</x:v>
      </x:c>
      <x:c r="B14" s="41" t="str">
        <x:v>Caja completa</x:v>
      </x:c>
      <x:c r="D14" s="36" t="str">
        <x:v>4. Sube el .xlsx a la app.</x:v>
      </x:c>
      <x:c r="E14" s="36"/>
      <x:c r="F14" s="36"/>
      <x:c r="G14" s="36"/>
      <x:c r="H14" s="36"/>
    </x:row>
    <x:row r="15" ht="26" customHeight="1">
      <x:c r="A15" s="41" t="str">
        <x:v>BT / BULTO</x:v>
      </x:c>
      <x:c r="B15" s="41" t="str">
        <x:v>Bulto completo</x:v>
      </x:c>
      <x:c r="D15" s="36" t="str">
        <x:v>5. Revisa productos listos, productos manuales y productos nuevos.</x:v>
      </x:c>
      <x:c r="E15" s="36"/>
      <x:c r="F15" s="36"/>
      <x:c r="G15" s="36"/>
      <x:c r="H15" s="36"/>
    </x:row>
    <x:row r="16" ht="26" customHeight="1">
      <x:c r="A16" s="41" t="str">
        <x:v>MTA / MATA</x:v>
      </x:c>
      <x:c r="B16" s="41" t="str">
        <x:v>Mata completa</x:v>
      </x:c>
      <x:c r="D16" s="36" t="str">
        <x:v>6. Confirma con PIN para actualizar costos, precios e inventario.</x:v>
      </x:c>
      <x:c r="E16" s="36"/>
      <x:c r="F16" s="36"/>
      <x:c r="G16" s="36"/>
      <x:c r="H16" s="36"/>
    </x:row>
    <x:row r="17">
      <x:c r="A17" s="41" t="str">
        <x:v>BJA / BANDEJA</x:v>
      </x:c>
      <x:c r="B17" s="41" t="str">
        <x:v>Bandeja completa</x:v>
      </x:c>
    </x:row>
    <x:row r="18">
      <x:c r="A18" s="41" t="str">
        <x:v>PAQ / PAQUETE</x:v>
      </x:c>
      <x:c r="B18" s="41" t="str">
        <x:v>Paquete</x:v>
      </x:c>
    </x:row>
    <x:row r="19">
      <x:c r="A19" s="41" t="str">
        <x:v>ARROBA</x:v>
      </x:c>
      <x:c r="B19" s="41" t="str">
        <x:v>Arroba</x:v>
      </x:c>
    </x:row>
  </x:sheetData>
  <x:mergeCells>
    <x:mergeCell ref="A1:H1"/>
    <x:mergeCell ref="D10:H10"/>
    <x:mergeCell ref="D11:H11"/>
    <x:mergeCell ref="D12:H12"/>
    <x:mergeCell ref="D13:H13"/>
    <x:mergeCell ref="D14:H14"/>
    <x:mergeCell ref="D15:H15"/>
    <x:mergeCell ref="D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</x:cols>
  <x:sheetData>
    <x:row r="1">
      <x:c r="A1" s="45" t="str">
        <x:v>Datos del lote / factura</x:v>
      </x:c>
    </x:row>
    <x:row r="3">
      <x:c r="A3" s="29" t="str">
        <x:v>Campo</x:v>
      </x:c>
      <x:c r="B3" s="29" t="str">
        <x:v>Valor</x:v>
      </x:c>
    </x:row>
    <x:row r="4">
      <x:c r="A4" s="14" t="str">
        <x:v>Número factura/lote</x:v>
      </x:c>
      <x:c r="B4" s="50" t="str"/>
    </x:row>
    <x:row r="5">
      <x:c r="A5" s="14" t="str">
        <x:v>Fecha lote</x:v>
      </x:c>
      <x:c r="B5" s="58" t="str"/>
    </x:row>
    <x:row r="6">
      <x:c r="A6" s="14" t="str">
        <x:v>Proveedor</x:v>
      </x:c>
      <x:c r="B6" s="50" t="str"/>
    </x:row>
    <x:row r="7">
      <x:c r="A7" s="14" t="str">
        <x:v>Responsable</x:v>
      </x:c>
      <x:c r="B7" s="50" t="str"/>
    </x:row>
    <x:row r="8">
      <x:c r="A8" s="14" t="str">
        <x:v>Observaciones</x:v>
      </x:c>
      <x:c r="B8" s="50" t="str"/>
    </x:row>
    <x:row r="9">
      <x:c r="A9" s="14" t="str">
        <x:v>Versión plantilla</x:v>
      </x:c>
      <x:c r="B9" s="55" t="str">
        <x:v>1.39.1</x:v>
      </x:c>
    </x:row>
    <x:row r="11">
      <x:c r="A11" s="29" t="str">
        <x:v>Regla</x:v>
      </x:c>
      <x:c r="B11" s="29" t="str">
        <x:v>Descripción</x:v>
      </x:c>
      <x:c r="C11" s="29" t="str"/>
      <x:c r="D11" s="29" t="str"/>
    </x:row>
    <x:row r="12">
      <x:c r="A12" s="14" t="str">
        <x:v>Obligatorio</x:v>
      </x:c>
      <x:c r="B12" s="20" t="str">
        <x:v>La app debe pedir fecha si B5 está vacío.</x:v>
      </x:c>
      <x:c r="C12" s="20" t="str"/>
      <x:c r="D12" s="20" t="str"/>
    </x:row>
    <x:row r="13">
      <x:c r="A13" s="14" t="str">
        <x:v>No cambiar</x:v>
      </x:c>
      <x:c r="B13" s="20" t="str">
        <x:v>El nombre de las hojas debe conservarse.</x:v>
      </x:c>
      <x:c r="C13" s="20" t="str"/>
      <x:c r="D13" s="20" t="str"/>
    </x:row>
    <x:row r="14">
      <x:c r="A14" s="14" t="str">
        <x:v>GitHub</x:v>
      </x:c>
      <x:c r="B14" s="20" t="str">
        <x:v>Subir este archivo como asset de Release o archivo estable del repositorio.</x:v>
      </x:c>
      <x:c r="C14" s="20" t="str"/>
      <x:c r="D14" s="20" t="str"/>
    </x:row>
    <x:row r="15">
      <x:c r="A15" s="14" t="str">
        <x:v>App</x:v>
      </x:c>
      <x:c r="B15" s="20" t="str">
        <x:v>La app debe leer FACTURA_LIMPIA y/o IMPORT_APP.</x:v>
      </x:c>
      <x:c r="C15" s="20" t="str"/>
      <x:c r="D15" s="20" t="str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6" hidden="0" customWidth="1"/>
    <x:col min="4" max="4" width="16" hidden="0" customWidth="1"/>
    <x:col min="5" max="5" width="3" hidden="0" customWidth="1"/>
    <x:col min="6" max="6" width="10" hidden="0" customWidth="1"/>
    <x:col min="7" max="7" width="14" hidden="0" customWidth="1"/>
    <x:col min="8" max="8" width="28" hidden="0" customWidth="1"/>
    <x:col min="9" max="9" width="16" hidden="0" customWidth="1"/>
  </x:cols>
  <x:sheetData>
    <x:row r="1" ht="22" customHeight="1">
      <x:c r="A1" s="29" t="str">
        <x:v>CANT.</x:v>
      </x:c>
      <x:c r="B1" s="29" t="str">
        <x:v>MEDIDA</x:v>
      </x:c>
      <x:c r="C1" s="29" t="str">
        <x:v>PRODUCTO</x:v>
      </x:c>
      <x:c r="D1" s="29" t="str">
        <x:v>TOTAL</x:v>
      </x:c>
      <x:c r="E1" s="92"/>
      <x:c r="F1" s="29" t="str">
        <x:v>CANT.</x:v>
      </x:c>
      <x:c r="G1" s="29" t="str">
        <x:v>MEDIDA</x:v>
      </x:c>
      <x:c r="H1" s="29" t="str">
        <x:v>PRODUCTO</x:v>
      </x:c>
      <x:c r="I1" s="29" t="str">
        <x:v>TOTAL</x:v>
      </x:c>
    </x:row>
    <x:row r="2" ht="22" customHeight="1">
      <x:c r="A2" s="66" t="str"/>
      <x:c r="B2" s="50" t="str"/>
      <x:c r="C2" s="62" t="str">
        <x:v>Acelga</x:v>
      </x:c>
      <x:c r="D2" s="68" t="str"/>
      <x:c r="E2" s="92"/>
      <x:c r="F2" s="66" t="str"/>
      <x:c r="G2" s="50" t="str"/>
      <x:c r="H2" s="62" t="str">
        <x:v>Maíz por Arroba</x:v>
      </x:c>
      <x:c r="I2" s="68" t="str"/>
    </x:row>
    <x:row r="3" ht="22" customHeight="1">
      <x:c r="A3" s="66" t="str"/>
      <x:c r="B3" s="50" t="str"/>
      <x:c r="C3" s="62" t="str">
        <x:v>Aguacate</x:v>
      </x:c>
      <x:c r="D3" s="68" t="str"/>
      <x:c r="E3" s="92"/>
      <x:c r="F3" s="66" t="str"/>
      <x:c r="G3" s="50" t="str"/>
      <x:c r="H3" s="62" t="str">
        <x:v>Maíz Entero</x:v>
      </x:c>
      <x:c r="I3" s="68" t="str"/>
    </x:row>
    <x:row r="4" ht="22" customHeight="1">
      <x:c r="A4" s="66" t="str"/>
      <x:c r="B4" s="50" t="str"/>
      <x:c r="C4" s="62" t="str">
        <x:v>Ahuyamín</x:v>
      </x:c>
      <x:c r="D4" s="68" t="str"/>
      <x:c r="E4" s="92"/>
      <x:c r="F4" s="66" t="str"/>
      <x:c r="G4" s="50" t="str"/>
      <x:c r="H4" s="62" t="str">
        <x:v>Maíz Partido</x:v>
      </x:c>
      <x:c r="I4" s="68" t="str"/>
    </x:row>
    <x:row r="5" ht="22" customHeight="1">
      <x:c r="A5" s="66" t="str"/>
      <x:c r="B5" s="50" t="str"/>
      <x:c r="C5" s="62" t="str">
        <x:v>Ají</x:v>
      </x:c>
      <x:c r="D5" s="68" t="str"/>
      <x:c r="E5" s="92"/>
      <x:c r="F5" s="66" t="str"/>
      <x:c r="G5" s="50" t="str"/>
      <x:c r="H5" s="62" t="str">
        <x:v>Mandarina</x:v>
      </x:c>
      <x:c r="I5" s="68" t="str"/>
    </x:row>
    <x:row r="6" ht="22" customHeight="1">
      <x:c r="A6" s="66" t="str"/>
      <x:c r="B6" s="50" t="str"/>
      <x:c r="C6" s="62" t="str">
        <x:v>Ajo Criollo</x:v>
      </x:c>
      <x:c r="D6" s="68" t="str"/>
      <x:c r="E6" s="92"/>
      <x:c r="F6" s="66" t="str"/>
      <x:c r="G6" s="50" t="str"/>
      <x:c r="H6" s="62" t="str">
        <x:v>Mango</x:v>
      </x:c>
      <x:c r="I6" s="68" t="str"/>
    </x:row>
    <x:row r="7" ht="22" customHeight="1">
      <x:c r="A7" s="66" t="str"/>
      <x:c r="B7" s="50" t="str"/>
      <x:c r="C7" s="62" t="str">
        <x:v>Ajo Blanco</x:v>
      </x:c>
      <x:c r="D7" s="68" t="str"/>
      <x:c r="E7" s="92"/>
      <x:c r="F7" s="66" t="str"/>
      <x:c r="G7" s="50" t="str"/>
      <x:c r="H7" s="62" t="str">
        <x:v>Manzana Verde</x:v>
      </x:c>
      <x:c r="I7" s="68" t="str"/>
    </x:row>
    <x:row r="8" ht="22" customHeight="1">
      <x:c r="A8" s="66" t="str"/>
      <x:c r="B8" s="50" t="str"/>
      <x:c r="C8" s="62" t="str">
        <x:v>Ajo Pelado</x:v>
      </x:c>
      <x:c r="D8" s="68" t="str"/>
      <x:c r="E8" s="92"/>
      <x:c r="F8" s="66" t="str"/>
      <x:c r="G8" s="50" t="str"/>
      <x:c r="H8" s="62" t="str">
        <x:v>Manzana Roja</x:v>
      </x:c>
      <x:c r="I8" s="68" t="str"/>
    </x:row>
    <x:row r="9" ht="22" customHeight="1">
      <x:c r="A9" s="66" t="str"/>
      <x:c r="B9" s="50" t="str"/>
      <x:c r="C9" s="62" t="str">
        <x:v>Apio España</x:v>
      </x:c>
      <x:c r="D9" s="68" t="str"/>
      <x:c r="E9" s="92"/>
      <x:c r="F9" s="66" t="str"/>
      <x:c r="G9" s="50" t="str"/>
      <x:c r="H9" s="62" t="str">
        <x:v>Manzana Royale</x:v>
      </x:c>
      <x:c r="I9" s="68" t="str"/>
    </x:row>
    <x:row r="10" ht="22" customHeight="1">
      <x:c r="A10" s="66" t="str"/>
      <x:c r="B10" s="50" t="str"/>
      <x:c r="C10" s="62" t="str">
        <x:v>Arándanos</x:v>
      </x:c>
      <x:c r="D10" s="68" t="str"/>
      <x:c r="E10" s="92"/>
      <x:c r="F10" s="66" t="str"/>
      <x:c r="G10" s="50" t="str"/>
      <x:c r="H10" s="62" t="str">
        <x:v>Maracuyá</x:v>
      </x:c>
      <x:c r="I10" s="68" t="str"/>
    </x:row>
    <x:row r="11" ht="22" customHeight="1">
      <x:c r="A11" s="66" t="str"/>
      <x:c r="B11" s="50" t="str"/>
      <x:c r="C11" s="62" t="str">
        <x:v>Arveja</x:v>
      </x:c>
      <x:c r="D11" s="68" t="str"/>
      <x:c r="E11" s="92"/>
      <x:c r="F11" s="66" t="str"/>
      <x:c r="G11" s="50" t="str"/>
      <x:c r="H11" s="62" t="str">
        <x:v>Melón</x:v>
      </x:c>
      <x:c r="I11" s="68" t="str"/>
    </x:row>
    <x:row r="12" ht="22" customHeight="1">
      <x:c r="A12" s="66" t="str"/>
      <x:c r="B12" s="50" t="str"/>
      <x:c r="C12" s="62" t="str">
        <x:v>Arracacha</x:v>
      </x:c>
      <x:c r="D12" s="68" t="str"/>
      <x:c r="E12" s="92"/>
      <x:c r="F12" s="66" t="str"/>
      <x:c r="G12" s="50" t="str"/>
      <x:c r="H12" s="62" t="str">
        <x:v>Mazorca Bandeja</x:v>
      </x:c>
      <x:c r="I12" s="68" t="str"/>
    </x:row>
    <x:row r="13" ht="22" customHeight="1">
      <x:c r="A13" s="66" t="str"/>
      <x:c r="B13" s="50" t="str"/>
      <x:c r="C13" s="62" t="str">
        <x:v>Banano</x:v>
      </x:c>
      <x:c r="D13" s="68" t="str"/>
      <x:c r="E13" s="92"/>
      <x:c r="F13" s="66" t="str"/>
      <x:c r="G13" s="50" t="str"/>
      <x:c r="H13" s="62" t="str">
        <x:v>Mora</x:v>
      </x:c>
      <x:c r="I13" s="68" t="str"/>
    </x:row>
    <x:row r="14" ht="22" customHeight="1">
      <x:c r="A14" s="66" t="str"/>
      <x:c r="B14" s="50" t="str"/>
      <x:c r="C14" s="62" t="str">
        <x:v>Berenjena</x:v>
      </x:c>
      <x:c r="D14" s="68" t="str"/>
      <x:c r="E14" s="92"/>
      <x:c r="F14" s="66" t="str"/>
      <x:c r="G14" s="50" t="str"/>
      <x:c r="H14" s="62" t="str">
        <x:v>Naranja</x:v>
      </x:c>
      <x:c r="I14" s="68" t="str"/>
    </x:row>
    <x:row r="15" ht="22" customHeight="1">
      <x:c r="A15" s="66" t="str"/>
      <x:c r="B15" s="50" t="str"/>
      <x:c r="C15" s="62" t="str">
        <x:v>Brócoli</x:v>
      </x:c>
      <x:c r="D15" s="68" t="str"/>
      <x:c r="E15" s="92"/>
      <x:c r="F15" s="66" t="str"/>
      <x:c r="G15" s="50" t="str"/>
      <x:c r="H15" s="62" t="str">
        <x:v>Panela Pastilla</x:v>
      </x:c>
      <x:c r="I15" s="68" t="str"/>
    </x:row>
    <x:row r="16" ht="22" customHeight="1">
      <x:c r="A16" s="66" t="str"/>
      <x:c r="B16" s="50" t="str"/>
      <x:c r="C16" s="62" t="str">
        <x:v>Calabaza</x:v>
      </x:c>
      <x:c r="D16" s="68" t="str"/>
      <x:c r="E16" s="92"/>
      <x:c r="F16" s="66" t="str"/>
      <x:c r="G16" s="50" t="str"/>
      <x:c r="H16" s="62" t="str">
        <x:v>Panelón</x:v>
      </x:c>
      <x:c r="I16" s="68" t="str"/>
    </x:row>
    <x:row r="17" ht="22" customHeight="1">
      <x:c r="A17" s="66" t="str"/>
      <x:c r="B17" s="50" t="str"/>
      <x:c r="C17" s="62" t="str">
        <x:v>Calabacín</x:v>
      </x:c>
      <x:c r="D17" s="68" t="str"/>
      <x:c r="E17" s="92"/>
      <x:c r="F17" s="66" t="str"/>
      <x:c r="G17" s="50" t="str"/>
      <x:c r="H17" s="62" t="str">
        <x:v>Papa Criolla</x:v>
      </x:c>
      <x:c r="I17" s="68" t="str"/>
    </x:row>
    <x:row r="18" ht="22" customHeight="1">
      <x:c r="A18" s="66" t="str"/>
      <x:c r="B18" s="50" t="str"/>
      <x:c r="C18" s="62" t="str">
        <x:v>Ceb. Cabezona Blanca</x:v>
      </x:c>
      <x:c r="D18" s="68" t="str"/>
      <x:c r="E18" s="92"/>
      <x:c r="F18" s="66" t="str"/>
      <x:c r="G18" s="50" t="str"/>
      <x:c r="H18" s="62" t="str">
        <x:v>Papa Gruesa</x:v>
      </x:c>
      <x:c r="I18" s="68" t="str"/>
    </x:row>
    <x:row r="19" ht="22" customHeight="1">
      <x:c r="A19" s="66" t="str"/>
      <x:c r="B19" s="50" t="str"/>
      <x:c r="C19" s="62" t="str">
        <x:v>Ceb. Cabezona Roja</x:v>
      </x:c>
      <x:c r="D19" s="68" t="str"/>
      <x:c r="E19" s="92"/>
      <x:c r="F19" s="66" t="str"/>
      <x:c r="G19" s="50" t="str"/>
      <x:c r="H19" s="62" t="str">
        <x:v>Papa Cero</x:v>
      </x:c>
      <x:c r="I19" s="68" t="str"/>
    </x:row>
    <x:row r="20" ht="22" customHeight="1">
      <x:c r="A20" s="66" t="str"/>
      <x:c r="B20" s="50" t="str"/>
      <x:c r="C20" s="62" t="str">
        <x:v>Ceb. Larga</x:v>
      </x:c>
      <x:c r="D20" s="68" t="str"/>
      <x:c r="E20" s="92"/>
      <x:c r="F20" s="66" t="str"/>
      <x:c r="G20" s="50" t="str"/>
      <x:c r="H20" s="62" t="str">
        <x:v>Papa Pareja</x:v>
      </x:c>
      <x:c r="I20" s="68" t="str"/>
    </x:row>
    <x:row r="21" ht="22" customHeight="1">
      <x:c r="A21" s="66" t="str"/>
      <x:c r="B21" s="50" t="str"/>
      <x:c r="C21" s="62" t="str">
        <x:v>Ceb. Puerro</x:v>
      </x:c>
      <x:c r="D21" s="68" t="str"/>
      <x:c r="E21" s="92"/>
      <x:c r="F21" s="66" t="str"/>
      <x:c r="G21" s="50" t="str"/>
      <x:c r="H21" s="62" t="str">
        <x:v>Papaya</x:v>
      </x:c>
      <x:c r="I21" s="68" t="str"/>
    </x:row>
    <x:row r="22" ht="22" customHeight="1">
      <x:c r="A22" s="66" t="str"/>
      <x:c r="B22" s="50" t="str"/>
      <x:c r="C22" s="62" t="str">
        <x:v>Cilantro</x:v>
      </x:c>
      <x:c r="D22" s="68" t="str"/>
      <x:c r="E22" s="92"/>
      <x:c r="F22" s="66" t="str"/>
      <x:c r="G22" s="50" t="str"/>
      <x:c r="H22" s="62" t="str">
        <x:v>Patilla</x:v>
      </x:c>
      <x:c r="I22" s="68" t="str"/>
    </x:row>
    <x:row r="23" ht="22" customHeight="1">
      <x:c r="A23" s="66" t="str"/>
      <x:c r="B23" s="50" t="str"/>
      <x:c r="C23" s="62" t="str">
        <x:v>Ciruela</x:v>
      </x:c>
      <x:c r="D23" s="68" t="str"/>
      <x:c r="E23" s="92"/>
      <x:c r="F23" s="66" t="str"/>
      <x:c r="G23" s="50" t="str"/>
      <x:c r="H23" s="62" t="str">
        <x:v>Pepino de Guiso</x:v>
      </x:c>
      <x:c r="I23" s="68" t="str"/>
    </x:row>
    <x:row r="24" ht="22" customHeight="1">
      <x:c r="A24" s="66" t="str"/>
      <x:c r="B24" s="50" t="str"/>
      <x:c r="C24" s="62" t="str">
        <x:v>Coliflor</x:v>
      </x:c>
      <x:c r="D24" s="68" t="str"/>
      <x:c r="E24" s="92"/>
      <x:c r="F24" s="66" t="str"/>
      <x:c r="G24" s="50" t="str"/>
      <x:c r="H24" s="62" t="str">
        <x:v>Pepino Cohombro</x:v>
      </x:c>
      <x:c r="I24" s="68" t="str"/>
    </x:row>
    <x:row r="25" ht="22" customHeight="1">
      <x:c r="A25" s="66" t="str"/>
      <x:c r="B25" s="50" t="str"/>
      <x:c r="C25" s="62" t="str">
        <x:v>Curuba</x:v>
      </x:c>
      <x:c r="D25" s="68" t="str"/>
      <x:c r="E25" s="92"/>
      <x:c r="F25" s="66" t="str"/>
      <x:c r="G25" s="50" t="str"/>
      <x:c r="H25" s="62" t="str">
        <x:v>Pera</x:v>
      </x:c>
      <x:c r="I25" s="68" t="str"/>
    </x:row>
    <x:row r="26" ht="22" customHeight="1">
      <x:c r="A26" s="66" t="str"/>
      <x:c r="B26" s="50" t="str"/>
      <x:c r="C26" s="62" t="str">
        <x:v>Champiñón</x:v>
      </x:c>
      <x:c r="D26" s="68" t="str"/>
      <x:c r="E26" s="92"/>
      <x:c r="F26" s="66" t="str"/>
      <x:c r="G26" s="50" t="str"/>
      <x:c r="H26" s="62" t="str">
        <x:v>Perejil</x:v>
      </x:c>
      <x:c r="I26" s="68" t="str"/>
    </x:row>
    <x:row r="27" ht="22" customHeight="1">
      <x:c r="A27" s="66" t="str"/>
      <x:c r="B27" s="50" t="str"/>
      <x:c r="C27" s="62" t="str">
        <x:v>Durazno</x:v>
      </x:c>
      <x:c r="D27" s="68" t="str"/>
      <x:c r="E27" s="92"/>
      <x:c r="F27" s="66" t="str"/>
      <x:c r="G27" s="50" t="str"/>
      <x:c r="H27" s="62" t="str">
        <x:v>Pimentón</x:v>
      </x:c>
      <x:c r="I27" s="68" t="str"/>
    </x:row>
    <x:row r="28" ht="22" customHeight="1">
      <x:c r="A28" s="66" t="str"/>
      <x:c r="B28" s="50" t="str"/>
      <x:c r="C28" s="62" t="str">
        <x:v>Espinaca</x:v>
      </x:c>
      <x:c r="D28" s="68" t="str"/>
      <x:c r="E28" s="92"/>
      <x:c r="F28" s="66" t="str"/>
      <x:c r="G28" s="50" t="str"/>
      <x:c r="H28" s="62" t="str">
        <x:v>Piña</x:v>
      </x:c>
      <x:c r="I28" s="68" t="str"/>
    </x:row>
    <x:row r="29" ht="22" customHeight="1">
      <x:c r="A29" s="66" t="str"/>
      <x:c r="B29" s="50" t="str"/>
      <x:c r="C29" s="62" t="str">
        <x:v>Fresa</x:v>
      </x:c>
      <x:c r="D29" s="68" t="str"/>
      <x:c r="E29" s="92"/>
      <x:c r="F29" s="66" t="str"/>
      <x:c r="G29" s="50" t="str"/>
      <x:c r="H29" s="62" t="str">
        <x:v>Plátano</x:v>
      </x:c>
      <x:c r="I29" s="68" t="str"/>
    </x:row>
    <x:row r="30" ht="22" customHeight="1">
      <x:c r="A30" s="66" t="str"/>
      <x:c r="B30" s="50" t="str"/>
      <x:c r="C30" s="62" t="str">
        <x:v>Fresa Extra</x:v>
      </x:c>
      <x:c r="D30" s="68" t="str"/>
      <x:c r="E30" s="92"/>
      <x:c r="F30" s="66" t="str"/>
      <x:c r="G30" s="50" t="str"/>
      <x:c r="H30" s="62" t="str">
        <x:v>Rábanos</x:v>
      </x:c>
      <x:c r="I30" s="68" t="str"/>
    </x:row>
    <x:row r="31" ht="22" customHeight="1">
      <x:c r="A31" s="66" t="str"/>
      <x:c r="B31" s="50" t="str"/>
      <x:c r="C31" s="62" t="str">
        <x:v>Frijol Verde</x:v>
      </x:c>
      <x:c r="D31" s="68" t="str"/>
      <x:c r="E31" s="92"/>
      <x:c r="F31" s="66" t="str"/>
      <x:c r="G31" s="50" t="str"/>
      <x:c r="H31" s="62" t="str">
        <x:v>Remolacha</x:v>
      </x:c>
      <x:c r="I31" s="68" t="str"/>
    </x:row>
    <x:row r="32" ht="22" customHeight="1">
      <x:c r="A32" s="66" t="str"/>
      <x:c r="B32" s="50" t="str"/>
      <x:c r="C32" s="62" t="str">
        <x:v>Jengibre</x:v>
      </x:c>
      <x:c r="D32" s="68" t="str"/>
      <x:c r="E32" s="92"/>
      <x:c r="F32" s="66" t="str"/>
      <x:c r="G32" s="50" t="str"/>
      <x:c r="H32" s="62" t="str">
        <x:v>Repollo</x:v>
      </x:c>
      <x:c r="I32" s="68" t="str"/>
    </x:row>
    <x:row r="33" ht="22" customHeight="1">
      <x:c r="A33" s="66" t="str"/>
      <x:c r="B33" s="50" t="str"/>
      <x:c r="C33" s="62" t="str">
        <x:v>Granadilla</x:v>
      </x:c>
      <x:c r="D33" s="68" t="str"/>
      <x:c r="E33" s="92"/>
      <x:c r="F33" s="66" t="str"/>
      <x:c r="G33" s="50" t="str"/>
      <x:c r="H33" s="62" t="str">
        <x:v>Tomate Chonto Grueso</x:v>
      </x:c>
      <x:c r="I33" s="68" t="str"/>
    </x:row>
    <x:row r="34" ht="22" customHeight="1">
      <x:c r="A34" s="66" t="str"/>
      <x:c r="B34" s="50" t="str"/>
      <x:c r="C34" s="62" t="str">
        <x:v>Guascas</x:v>
      </x:c>
      <x:c r="D34" s="68" t="str"/>
      <x:c r="E34" s="92"/>
      <x:c r="F34" s="66" t="str"/>
      <x:c r="G34" s="50" t="str"/>
      <x:c r="H34" s="62" t="str">
        <x:v>Tomate Semi</x:v>
      </x:c>
      <x:c r="I34" s="68" t="str"/>
    </x:row>
    <x:row r="35" ht="22" customHeight="1">
      <x:c r="A35" s="66" t="str"/>
      <x:c r="B35" s="50" t="str"/>
      <x:c r="C35" s="62" t="str">
        <x:v>Guayaba</x:v>
      </x:c>
      <x:c r="D35" s="68" t="str"/>
      <x:c r="E35" s="92"/>
      <x:c r="F35" s="66" t="str"/>
      <x:c r="G35" s="50" t="str"/>
      <x:c r="H35" s="62" t="str">
        <x:v>Tomate de Árbol</x:v>
      </x:c>
      <x:c r="I35" s="68" t="str"/>
    </x:row>
    <x:row r="36" ht="22" customHeight="1">
      <x:c r="A36" s="66" t="str"/>
      <x:c r="B36" s="50" t="str"/>
      <x:c r="C36" s="62" t="str">
        <x:v>Guayaba Pera</x:v>
      </x:c>
      <x:c r="D36" s="68" t="str"/>
      <x:c r="E36" s="92"/>
      <x:c r="F36" s="66" t="str"/>
      <x:c r="G36" s="50" t="str"/>
      <x:c r="H36" s="62" t="str">
        <x:v>Tomillo y Laurel</x:v>
      </x:c>
      <x:c r="I36" s="68" t="str"/>
    </x:row>
    <x:row r="37" ht="22" customHeight="1">
      <x:c r="A37" s="66" t="str"/>
      <x:c r="B37" s="50" t="str"/>
      <x:c r="C37" s="62" t="str">
        <x:v>Guatila</x:v>
      </x:c>
      <x:c r="D37" s="68" t="str"/>
      <x:c r="E37" s="92"/>
      <x:c r="F37" s="66" t="str"/>
      <x:c r="G37" s="50" t="str"/>
      <x:c r="H37" s="62" t="str">
        <x:v>Uchubas</x:v>
      </x:c>
      <x:c r="I37" s="68" t="str"/>
    </x:row>
    <x:row r="38" ht="22" customHeight="1">
      <x:c r="A38" s="66" t="str"/>
      <x:c r="B38" s="50" t="str"/>
      <x:c r="C38" s="62" t="str">
        <x:v>Guanábana</x:v>
      </x:c>
      <x:c r="D38" s="68" t="str"/>
      <x:c r="E38" s="92"/>
      <x:c r="F38" s="66" t="str"/>
      <x:c r="G38" s="50" t="str"/>
      <x:c r="H38" s="62" t="str">
        <x:v>Uva Isabella</x:v>
      </x:c>
      <x:c r="I38" s="68" t="str"/>
    </x:row>
    <x:row r="39" ht="22" customHeight="1">
      <x:c r="A39" s="66" t="str"/>
      <x:c r="B39" s="50" t="str"/>
      <x:c r="C39" s="62" t="str">
        <x:v>Habas</x:v>
      </x:c>
      <x:c r="D39" s="68" t="str"/>
      <x:c r="E39" s="92"/>
      <x:c r="F39" s="66" t="str"/>
      <x:c r="G39" s="50" t="str"/>
      <x:c r="H39" s="62" t="str">
        <x:v>Uva Combinada</x:v>
      </x:c>
      <x:c r="I39" s="68" t="str"/>
    </x:row>
    <x:row r="40" ht="22" customHeight="1">
      <x:c r="A40" s="66" t="str"/>
      <x:c r="B40" s="50" t="str"/>
      <x:c r="C40" s="62" t="str">
        <x:v>Habichuela</x:v>
      </x:c>
      <x:c r="D40" s="68" t="str"/>
      <x:c r="E40" s="92"/>
      <x:c r="F40" s="66" t="str"/>
      <x:c r="G40" s="50" t="str"/>
      <x:c r="H40" s="62" t="str">
        <x:v>Uva Chilena</x:v>
      </x:c>
      <x:c r="I40" s="68" t="str"/>
    </x:row>
    <x:row r="41" ht="22" customHeight="1">
      <x:c r="A41" s="66" t="str"/>
      <x:c r="B41" s="50" t="str"/>
      <x:c r="C41" s="62" t="str">
        <x:v>Kiwi</x:v>
      </x:c>
      <x:c r="D41" s="68" t="str"/>
      <x:c r="E41" s="92"/>
      <x:c r="F41" s="66" t="str"/>
      <x:c r="G41" s="50" t="str"/>
      <x:c r="H41" s="62" t="str">
        <x:v>Yuca</x:v>
      </x:c>
      <x:c r="I41" s="68" t="str"/>
    </x:row>
    <x:row r="42" ht="22" customHeight="1">
      <x:c r="A42" s="66" t="str"/>
      <x:c r="B42" s="50" t="str"/>
      <x:c r="C42" s="62" t="str">
        <x:v>Lechuga Crespa</x:v>
      </x:c>
      <x:c r="D42" s="68" t="str"/>
      <x:c r="E42" s="92"/>
      <x:c r="F42" s="66" t="str"/>
      <x:c r="G42" s="50" t="str"/>
      <x:c r="H42" s="62" t="str">
        <x:v>Zanahoria Extra</x:v>
      </x:c>
      <x:c r="I42" s="68" t="str"/>
    </x:row>
    <x:row r="43" ht="22" customHeight="1">
      <x:c r="A43" s="66" t="str"/>
      <x:c r="B43" s="50" t="str"/>
      <x:c r="C43" s="62" t="str">
        <x:v>Lechuga Batavia</x:v>
      </x:c>
      <x:c r="D43" s="68" t="str"/>
      <x:c r="E43" s="92"/>
      <x:c r="F43" s="66" t="str"/>
      <x:c r="G43" s="50" t="str"/>
      <x:c r="H43" s="62" t="str">
        <x:v>Zanahoria Cero</x:v>
      </x:c>
      <x:c r="I43" s="68" t="str"/>
    </x:row>
    <x:row r="44" ht="22" customHeight="1">
      <x:c r="A44" s="66" t="str"/>
      <x:c r="B44" s="50" t="str"/>
      <x:c r="C44" s="62" t="str">
        <x:v>Limón Taití</x:v>
      </x:c>
      <x:c r="D44" s="68" t="str"/>
      <x:c r="E44" s="92"/>
      <x:c r="F44" s="66" t="str"/>
      <x:c r="G44" s="50" t="str"/>
      <x:c r="H44" s="62" t="str">
        <x:v>Zukini</x:v>
      </x:c>
      <x:c r="I44" s="68" t="str"/>
    </x:row>
    <x:row r="45" ht="22" customHeight="1">
      <x:c r="A45" s="66" t="str"/>
      <x:c r="B45" s="50" t="str"/>
      <x:c r="C45" s="62" t="str">
        <x:v>Limón Castilla</x:v>
      </x:c>
      <x:c r="D45" s="68" t="str"/>
      <x:c r="E45" s="92"/>
      <x:c r="F45" s="66" t="str"/>
      <x:c r="G45" s="50" t="str"/>
      <x:c r="H45" s="62" t="str">
        <x:v>Zumo limón Grande</x:v>
      </x:c>
      <x:c r="I45" s="68" t="str"/>
    </x:row>
    <x:row r="46" ht="22" customHeight="1">
      <x:c r="A46" s="66" t="str"/>
      <x:c r="B46" s="50" t="str"/>
      <x:c r="C46" s="62" t="str">
        <x:v>Limón Mandarino</x:v>
      </x:c>
      <x:c r="D46" s="68" t="str"/>
      <x:c r="E46" s="92"/>
      <x:c r="F46" s="66" t="str"/>
      <x:c r="G46" s="50" t="str"/>
      <x:c r="H46" s="62" t="str">
        <x:v>Zumo Limón Pequeño</x:v>
      </x:c>
      <x:c r="I46" s="68" t="str"/>
    </x:row>
    <x:row r="47" ht="22" customHeight="1">
      <x:c r="A47" s="66" t="str"/>
      <x:c r="B47" s="50" t="str"/>
      <x:c r="C47" s="62" t="str">
        <x:v>Lulo</x:v>
      </x:c>
      <x:c r="D47" s="68" t="str"/>
      <x:c r="E47" s="92"/>
      <x:c r="F47" s="93"/>
      <x:c r="G47" s="93"/>
      <x:c r="H47" s="93"/>
      <x:c r="I47" s="94"/>
    </x:row>
    <x:row r="48" ht="22" customHeight="1">
      <x:c r="A48" s="93"/>
      <x:c r="B48" s="93"/>
      <x:c r="C48" s="93"/>
      <x:c r="D48" s="93"/>
      <x:c r="E48" s="92"/>
      <x:c r="F48" s="93"/>
      <x:c r="G48" s="93"/>
      <x:c r="H48" s="93"/>
      <x:c r="I48" s="94"/>
    </x:row>
    <x:row r="49" ht="22" customHeight="1">
      <x:c r="A49" s="93"/>
      <x:c r="B49" s="93"/>
      <x:c r="C49" s="93"/>
      <x:c r="D49" s="93"/>
      <x:c r="E49" s="92"/>
      <x:c r="F49" s="93"/>
      <x:c r="G49" s="93"/>
      <x:c r="H49" s="78" t="str">
        <x:v>TOTAL ESTA FACTURA $</x:v>
      </x:c>
      <x:c r="I49" s="79" t="n">
        <x:f>SUM(D2:D47)+SUM(I2:I46)</x:f>
        <x:v>0</x:v>
      </x:c>
    </x:row>
    <x:row r="50" ht="22" customHeight="1">
      <x:c r="A50" s="14" t="str">
        <x:v>INSTRUCCIÓN:</x:v>
      </x:c>
      <x:c r="B50" s="95" t="str">
        <x:v>Llena solo CANT., MEDIDA y TOTAL. No cambies nombres de productos ni orden de filas.</x:v>
      </x:c>
      <x:c r="C50" s="95" t="str"/>
      <x:c r="D50" s="95" t="str"/>
      <x:c r="E50" s="95" t="str"/>
      <x:c r="F50" s="95" t="str"/>
      <x:c r="G50" s="95" t="str"/>
      <x:c r="H50" s="95" t="str"/>
      <x:c r="I50" s="95" t="str"/>
    </x:row>
    <x:row r="51" ht="22" customHeight="1">
      <x:c r="A51" s="14" t="str">
        <x:v>UNIDADES:</x:v>
      </x:c>
      <x:c r="B51" s="95" t="str">
        <x:v>KG/KL/KILO, UND/UNIDAD, CJ/CAJA, BT/BULTO, MTA/MATA, BJA/BANDEJA, PAQ/PAQUETE, ARROBA.</x:v>
      </x:c>
      <x:c r="C51" s="95" t="str"/>
      <x:c r="D51" s="95" t="str"/>
      <x:c r="E51" s="95" t="str"/>
      <x:c r="F51" s="95" t="str"/>
      <x:c r="G51" s="95" t="str"/>
      <x:c r="H51" s="95" t="str"/>
      <x:c r="I51" s="95" t="str"/>
    </x:row>
    <x:row r="52" ht="22" customHeight="1">
      <x:c r="A52" s="14" t="str">
        <x:v>APP:</x:v>
      </x:c>
      <x:c r="B52" s="95" t="str">
        <x:v>La app ignorará filas sin cantidad o sin total de compra.</x:v>
      </x:c>
      <x:c r="C52" s="95" t="str"/>
      <x:c r="D52" s="95" t="str"/>
      <x:c r="E52" s="95" t="str"/>
      <x:c r="F52" s="95" t="str"/>
      <x:c r="G52" s="95" t="str"/>
      <x:c r="H52" s="95" t="str"/>
      <x:c r="I52" s="95" t="str"/>
    </x:row>
    <x:row r="53" ht="22" customHeight="1">
      <x:c r="A53" s="93" t="str"/>
      <x:c r="B53" s="93" t="str"/>
      <x:c r="C53" s="93" t="str"/>
      <x:c r="D53" s="93" t="str"/>
      <x:c r="E53" s="93" t="str"/>
      <x:c r="F53" s="93" t="str"/>
      <x:c r="G53" s="93" t="str"/>
      <x:c r="H53" s="93" t="str"/>
      <x:c r="I53" s="93" t="str"/>
    </x:row>
  </x:sheetData>
  <x:mergeCells>
    <x:mergeCell ref="B50:I50"/>
    <x:mergeCell ref="B51:I51"/>
    <x:mergeCell ref="B52:I52"/>
  </x:mergeCells>
  <x:dataValidations count="2">
    <x:dataValidation type="list" sqref="B2:B47">
      <x:formula1>"KG,KL,KILO,UND,UNIDAD,CJ,CAJA,BT,BULTO,MTA,MATA,BJA,BANDEJA,PAQ,PAQUETE,ARROBA"</x:formula1>
    </x:dataValidation>
    <x:dataValidation type="list" sqref="G2:G46">
      <x:formula1>"KG,KL,KILO,UND,UNIDAD,CJ,CAJA,BT,BULTO,MTA,MATA,BJA,BANDEJA,PAQ,PAQUETE,ARROBA"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18" hidden="0" customWidth="1"/>
    <x:col min="4" max="4" width="14" hidden="0" customWidth="1"/>
    <x:col min="5" max="5" width="14" hidden="0" customWidth="1"/>
    <x:col min="6" max="6" width="10" hidden="0" customWidth="1"/>
    <x:col min="7" max="7" width="28" hidden="0" customWidth="1"/>
    <x:col min="8" max="8" width="24" hidden="0" customWidth="1"/>
    <x:col min="9" max="9" width="12" hidden="0" customWidth="1"/>
    <x:col min="10" max="10" width="14" hidden="0" customWidth="1"/>
    <x:col min="11" max="11" width="16" hidden="0" customWidth="1"/>
    <x:col min="12" max="12" width="28" hidden="0" customWidth="1"/>
    <x:col min="14" max="14" width="42" hidden="0" customWidth="1"/>
  </x:cols>
  <x:sheetData>
    <x:row r="1" ht="28" customHeight="1">
      <x:c r="A1" s="29" t="str">
        <x:v>formato</x:v>
      </x:c>
      <x:c r="B1" s="29" t="str">
        <x:v>version</x:v>
      </x:c>
      <x:c r="C1" s="29" t="str">
        <x:v>numeroFactura</x:v>
      </x:c>
      <x:c r="D1" s="29" t="str">
        <x:v>fechaLote</x:v>
      </x:c>
      <x:c r="E1" s="29" t="str">
        <x:v>seccion</x:v>
      </x:c>
      <x:c r="F1" s="29" t="str">
        <x:v>filaExcel</x:v>
      </x:c>
      <x:c r="G1" s="29" t="str">
        <x:v>productoPlantilla</x:v>
      </x:c>
      <x:c r="H1" s="29" t="str">
        <x:v>productoClave</x:v>
      </x:c>
      <x:c r="I1" s="29" t="str">
        <x:v>cantidad</x:v>
      </x:c>
      <x:c r="J1" s="29" t="str">
        <x:v>medida</x:v>
      </x:c>
      <x:c r="K1" s="29" t="str">
        <x:v>totalCompra</x:v>
      </x:c>
      <x:c r="L1" s="29" t="str">
        <x:v>observacion</x:v>
      </x:c>
      <x:c r="N1" s="29" t="str">
        <x:v>Nota técnica</x:v>
      </x:c>
    </x:row>
    <x:row r="2">
      <x:c r="A2" s="100" t="str">
        <x:v>LAABUNDANCIA_LOTE</x:v>
      </x:c>
      <x:c r="B2" s="100" t="n">
        <x:v>1</x:v>
      </x:c>
      <x:c r="C2" s="100" t="str">
        <x:f>IF(DATOS_LOTE!$B$4="","",DATOS_LOTE!$B$4)</x:f>
      </x:c>
      <x:c r="D2" s="102" t="str">
        <x:f>IF(DATOS_LOTE!$B$5="","",DATOS_LOTE!$B$5)</x:f>
      </x:c>
      <x:c r="E2" s="100" t="str">
        <x:v>IZQUIERDA</x:v>
      </x:c>
      <x:c r="F2" s="100" t="n">
        <x:v>2</x:v>
      </x:c>
      <x:c r="G2" s="100" t="str">
        <x:v>Acelga</x:v>
      </x:c>
      <x:c r="H2" s="100" t="str">
        <x:v>acelga</x:v>
      </x:c>
      <x:c r="I2" s="100" t="str">
        <x:f>IF('FACTURA_LIMPIA'!A2="","",'FACTURA_LIMPIA'!A2)</x:f>
      </x:c>
      <x:c r="J2" s="100" t="str">
        <x:f>IF('FACTURA_LIMPIA'!B2="","",'FACTURA_LIMPIA'!B2)</x:f>
      </x:c>
      <x:c r="K2" s="104" t="str">
        <x:f>IF('FACTURA_LIMPIA'!D2="","",'FACTURA_LIMPIA'!D2)</x:f>
      </x:c>
      <x:c r="L2" s="100" t="str"/>
      <x:c r="N2" s="35" t="str">
        <x:v>Esta hoja se llena automáticamente desde FACTURA_LIMPIA. No editar. La app debe ignorar filas vacías.</x:v>
      </x:c>
    </x:row>
    <x:row r="3">
      <x:c r="A3" s="100" t="str">
        <x:v>LAABUNDANCIA_LOTE</x:v>
      </x:c>
      <x:c r="B3" s="100" t="n">
        <x:v>1</x:v>
      </x:c>
      <x:c r="C3" s="100" t="str">
        <x:f>IF(DATOS_LOTE!$B$4="","",DATOS_LOTE!$B$4)</x:f>
      </x:c>
      <x:c r="D3" s="102" t="str">
        <x:f>IF(DATOS_LOTE!$B$5="","",DATOS_LOTE!$B$5)</x:f>
      </x:c>
      <x:c r="E3" s="100" t="str">
        <x:v>IZQUIERDA</x:v>
      </x:c>
      <x:c r="F3" s="100" t="n">
        <x:v>3</x:v>
      </x:c>
      <x:c r="G3" s="100" t="str">
        <x:v>Aguacate</x:v>
      </x:c>
      <x:c r="H3" s="100" t="str">
        <x:v>aguacate</x:v>
      </x:c>
      <x:c r="I3" s="100" t="str">
        <x:f>IF('FACTURA_LIMPIA'!A3="","",'FACTURA_LIMPIA'!A3)</x:f>
      </x:c>
      <x:c r="J3" s="100" t="str">
        <x:f>IF('FACTURA_LIMPIA'!B3="","",'FACTURA_LIMPIA'!B3)</x:f>
      </x:c>
      <x:c r="K3" s="104" t="str">
        <x:f>IF('FACTURA_LIMPIA'!D3="","",'FACTURA_LIMPIA'!D3)</x:f>
      </x:c>
      <x:c r="L3" s="100" t="str"/>
    </x:row>
    <x:row r="4">
      <x:c r="A4" s="100" t="str">
        <x:v>LAABUNDANCIA_LOTE</x:v>
      </x:c>
      <x:c r="B4" s="100" t="n">
        <x:v>1</x:v>
      </x:c>
      <x:c r="C4" s="100" t="str">
        <x:f>IF(DATOS_LOTE!$B$4="","",DATOS_LOTE!$B$4)</x:f>
      </x:c>
      <x:c r="D4" s="102" t="str">
        <x:f>IF(DATOS_LOTE!$B$5="","",DATOS_LOTE!$B$5)</x:f>
      </x:c>
      <x:c r="E4" s="100" t="str">
        <x:v>IZQUIERDA</x:v>
      </x:c>
      <x:c r="F4" s="100" t="n">
        <x:v>4</x:v>
      </x:c>
      <x:c r="G4" s="100" t="str">
        <x:v>Ahuyamín</x:v>
      </x:c>
      <x:c r="H4" s="100" t="str">
        <x:v>ahuyamin</x:v>
      </x:c>
      <x:c r="I4" s="100" t="str">
        <x:f>IF('FACTURA_LIMPIA'!A4="","",'FACTURA_LIMPIA'!A4)</x:f>
      </x:c>
      <x:c r="J4" s="100" t="str">
        <x:f>IF('FACTURA_LIMPIA'!B4="","",'FACTURA_LIMPIA'!B4)</x:f>
      </x:c>
      <x:c r="K4" s="104" t="str">
        <x:f>IF('FACTURA_LIMPIA'!D4="","",'FACTURA_LIMPIA'!D4)</x:f>
      </x:c>
      <x:c r="L4" s="100" t="str"/>
    </x:row>
    <x:row r="5">
      <x:c r="A5" s="100" t="str">
        <x:v>LAABUNDANCIA_LOTE</x:v>
      </x:c>
      <x:c r="B5" s="100" t="n">
        <x:v>1</x:v>
      </x:c>
      <x:c r="C5" s="100" t="str">
        <x:f>IF(DATOS_LOTE!$B$4="","",DATOS_LOTE!$B$4)</x:f>
      </x:c>
      <x:c r="D5" s="102" t="str">
        <x:f>IF(DATOS_LOTE!$B$5="","",DATOS_LOTE!$B$5)</x:f>
      </x:c>
      <x:c r="E5" s="100" t="str">
        <x:v>IZQUIERDA</x:v>
      </x:c>
      <x:c r="F5" s="100" t="n">
        <x:v>5</x:v>
      </x:c>
      <x:c r="G5" s="100" t="str">
        <x:v>Ají</x:v>
      </x:c>
      <x:c r="H5" s="100" t="str">
        <x:v>aji_manual</x:v>
      </x:c>
      <x:c r="I5" s="100" t="str">
        <x:f>IF('FACTURA_LIMPIA'!A5="","",'FACTURA_LIMPIA'!A5)</x:f>
      </x:c>
      <x:c r="J5" s="100" t="str">
        <x:f>IF('FACTURA_LIMPIA'!B5="","",'FACTURA_LIMPIA'!B5)</x:f>
      </x:c>
      <x:c r="K5" s="104" t="str">
        <x:f>IF('FACTURA_LIMPIA'!D5="","",'FACTURA_LIMPIA'!D5)</x:f>
      </x:c>
      <x:c r="L5" s="100" t="str"/>
    </x:row>
    <x:row r="6">
      <x:c r="A6" s="100" t="str">
        <x:v>LAABUNDANCIA_LOTE</x:v>
      </x:c>
      <x:c r="B6" s="100" t="n">
        <x:v>1</x:v>
      </x:c>
      <x:c r="C6" s="100" t="str">
        <x:f>IF(DATOS_LOTE!$B$4="","",DATOS_LOTE!$B$4)</x:f>
      </x:c>
      <x:c r="D6" s="102" t="str">
        <x:f>IF(DATOS_LOTE!$B$5="","",DATOS_LOTE!$B$5)</x:f>
      </x:c>
      <x:c r="E6" s="100" t="str">
        <x:v>IZQUIERDA</x:v>
      </x:c>
      <x:c r="F6" s="100" t="n">
        <x:v>6</x:v>
      </x:c>
      <x:c r="G6" s="100" t="str">
        <x:v>Ajo Criollo</x:v>
      </x:c>
      <x:c r="H6" s="100" t="str">
        <x:v>ajo_criollo_manojo</x:v>
      </x:c>
      <x:c r="I6" s="100" t="str">
        <x:f>IF('FACTURA_LIMPIA'!A6="","",'FACTURA_LIMPIA'!A6)</x:f>
      </x:c>
      <x:c r="J6" s="100" t="str">
        <x:f>IF('FACTURA_LIMPIA'!B6="","",'FACTURA_LIMPIA'!B6)</x:f>
      </x:c>
      <x:c r="K6" s="104" t="str">
        <x:f>IF('FACTURA_LIMPIA'!D6="","",'FACTURA_LIMPIA'!D6)</x:f>
      </x:c>
      <x:c r="L6" s="100" t="str"/>
    </x:row>
    <x:row r="7">
      <x:c r="A7" s="100" t="str">
        <x:v>LAABUNDANCIA_LOTE</x:v>
      </x:c>
      <x:c r="B7" s="100" t="n">
        <x:v>1</x:v>
      </x:c>
      <x:c r="C7" s="100" t="str">
        <x:f>IF(DATOS_LOTE!$B$4="","",DATOS_LOTE!$B$4)</x:f>
      </x:c>
      <x:c r="D7" s="102" t="str">
        <x:f>IF(DATOS_LOTE!$B$5="","",DATOS_LOTE!$B$5)</x:f>
      </x:c>
      <x:c r="E7" s="100" t="str">
        <x:v>IZQUIERDA</x:v>
      </x:c>
      <x:c r="F7" s="100" t="n">
        <x:v>7</x:v>
      </x:c>
      <x:c r="G7" s="100" t="str">
        <x:v>Ajo Blanco</x:v>
      </x:c>
      <x:c r="H7" s="100" t="str">
        <x:v>ajo_blanco_paquete</x:v>
      </x:c>
      <x:c r="I7" s="100" t="str">
        <x:f>IF('FACTURA_LIMPIA'!A7="","",'FACTURA_LIMPIA'!A7)</x:f>
      </x:c>
      <x:c r="J7" s="100" t="str">
        <x:f>IF('FACTURA_LIMPIA'!B7="","",'FACTURA_LIMPIA'!B7)</x:f>
      </x:c>
      <x:c r="K7" s="104" t="str">
        <x:f>IF('FACTURA_LIMPIA'!D7="","",'FACTURA_LIMPIA'!D7)</x:f>
      </x:c>
      <x:c r="L7" s="100" t="str"/>
    </x:row>
    <x:row r="8">
      <x:c r="A8" s="100" t="str">
        <x:v>LAABUNDANCIA_LOTE</x:v>
      </x:c>
      <x:c r="B8" s="100" t="n">
        <x:v>1</x:v>
      </x:c>
      <x:c r="C8" s="100" t="str">
        <x:f>IF(DATOS_LOTE!$B$4="","",DATOS_LOTE!$B$4)</x:f>
      </x:c>
      <x:c r="D8" s="102" t="str">
        <x:f>IF(DATOS_LOTE!$B$5="","",DATOS_LOTE!$B$5)</x:f>
      </x:c>
      <x:c r="E8" s="100" t="str">
        <x:v>IZQUIERDA</x:v>
      </x:c>
      <x:c r="F8" s="100" t="n">
        <x:v>8</x:v>
      </x:c>
      <x:c r="G8" s="100" t="str">
        <x:v>Ajo Pelado</x:v>
      </x:c>
      <x:c r="H8" s="100" t="str">
        <x:v>ajo_pelado_base</x:v>
      </x:c>
      <x:c r="I8" s="100" t="str">
        <x:f>IF('FACTURA_LIMPIA'!A8="","",'FACTURA_LIMPIA'!A8)</x:f>
      </x:c>
      <x:c r="J8" s="100" t="str">
        <x:f>IF('FACTURA_LIMPIA'!B8="","",'FACTURA_LIMPIA'!B8)</x:f>
      </x:c>
      <x:c r="K8" s="104" t="str">
        <x:f>IF('FACTURA_LIMPIA'!D8="","",'FACTURA_LIMPIA'!D8)</x:f>
      </x:c>
      <x:c r="L8" s="100" t="str"/>
    </x:row>
    <x:row r="9">
      <x:c r="A9" s="100" t="str">
        <x:v>LAABUNDANCIA_LOTE</x:v>
      </x:c>
      <x:c r="B9" s="100" t="n">
        <x:v>1</x:v>
      </x:c>
      <x:c r="C9" s="100" t="str">
        <x:f>IF(DATOS_LOTE!$B$4="","",DATOS_LOTE!$B$4)</x:f>
      </x:c>
      <x:c r="D9" s="102" t="str">
        <x:f>IF(DATOS_LOTE!$B$5="","",DATOS_LOTE!$B$5)</x:f>
      </x:c>
      <x:c r="E9" s="100" t="str">
        <x:v>IZQUIERDA</x:v>
      </x:c>
      <x:c r="F9" s="100" t="n">
        <x:v>9</x:v>
      </x:c>
      <x:c r="G9" s="100" t="str">
        <x:v>Apio España</x:v>
      </x:c>
      <x:c r="H9" s="100" t="str">
        <x:v>apio_espana</x:v>
      </x:c>
      <x:c r="I9" s="100" t="str">
        <x:f>IF('FACTURA_LIMPIA'!A9="","",'FACTURA_LIMPIA'!A9)</x:f>
      </x:c>
      <x:c r="J9" s="100" t="str">
        <x:f>IF('FACTURA_LIMPIA'!B9="","",'FACTURA_LIMPIA'!B9)</x:f>
      </x:c>
      <x:c r="K9" s="104" t="str">
        <x:f>IF('FACTURA_LIMPIA'!D9="","",'FACTURA_LIMPIA'!D9)</x:f>
      </x:c>
      <x:c r="L9" s="100" t="str"/>
    </x:row>
    <x:row r="10">
      <x:c r="A10" s="100" t="str">
        <x:v>LAABUNDANCIA_LOTE</x:v>
      </x:c>
      <x:c r="B10" s="100" t="n">
        <x:v>1</x:v>
      </x:c>
      <x:c r="C10" s="100" t="str">
        <x:f>IF(DATOS_LOTE!$B$4="","",DATOS_LOTE!$B$4)</x:f>
      </x:c>
      <x:c r="D10" s="102" t="str">
        <x:f>IF(DATOS_LOTE!$B$5="","",DATOS_LOTE!$B$5)</x:f>
      </x:c>
      <x:c r="E10" s="100" t="str">
        <x:v>IZQUIERDA</x:v>
      </x:c>
      <x:c r="F10" s="100" t="n">
        <x:v>10</x:v>
      </x:c>
      <x:c r="G10" s="100" t="str">
        <x:v>Arándanos</x:v>
      </x:c>
      <x:c r="H10" s="100" t="str">
        <x:v>arandanos</x:v>
      </x:c>
      <x:c r="I10" s="100" t="str">
        <x:f>IF('FACTURA_LIMPIA'!A10="","",'FACTURA_LIMPIA'!A10)</x:f>
      </x:c>
      <x:c r="J10" s="100" t="str">
        <x:f>IF('FACTURA_LIMPIA'!B10="","",'FACTURA_LIMPIA'!B10)</x:f>
      </x:c>
      <x:c r="K10" s="104" t="str">
        <x:f>IF('FACTURA_LIMPIA'!D10="","",'FACTURA_LIMPIA'!D10)</x:f>
      </x:c>
      <x:c r="L10" s="100" t="str"/>
    </x:row>
    <x:row r="11">
      <x:c r="A11" s="100" t="str">
        <x:v>LAABUNDANCIA_LOTE</x:v>
      </x:c>
      <x:c r="B11" s="100" t="n">
        <x:v>1</x:v>
      </x:c>
      <x:c r="C11" s="100" t="str">
        <x:f>IF(DATOS_LOTE!$B$4="","",DATOS_LOTE!$B$4)</x:f>
      </x:c>
      <x:c r="D11" s="102" t="str">
        <x:f>IF(DATOS_LOTE!$B$5="","",DATOS_LOTE!$B$5)</x:f>
      </x:c>
      <x:c r="E11" s="100" t="str">
        <x:v>IZQUIERDA</x:v>
      </x:c>
      <x:c r="F11" s="100" t="n">
        <x:v>11</x:v>
      </x:c>
      <x:c r="G11" s="100" t="str">
        <x:v>Arveja</x:v>
      </x:c>
      <x:c r="H11" s="100" t="str">
        <x:v>arveja_con_cascara</x:v>
      </x:c>
      <x:c r="I11" s="100" t="str">
        <x:f>IF('FACTURA_LIMPIA'!A11="","",'FACTURA_LIMPIA'!A11)</x:f>
      </x:c>
      <x:c r="J11" s="100" t="str">
        <x:f>IF('FACTURA_LIMPIA'!B11="","",'FACTURA_LIMPIA'!B11)</x:f>
      </x:c>
      <x:c r="K11" s="104" t="str">
        <x:f>IF('FACTURA_LIMPIA'!D11="","",'FACTURA_LIMPIA'!D11)</x:f>
      </x:c>
      <x:c r="L11" s="100" t="str"/>
    </x:row>
    <x:row r="12">
      <x:c r="A12" s="100" t="str">
        <x:v>LAABUNDANCIA_LOTE</x:v>
      </x:c>
      <x:c r="B12" s="100" t="n">
        <x:v>1</x:v>
      </x:c>
      <x:c r="C12" s="100" t="str">
        <x:f>IF(DATOS_LOTE!$B$4="","",DATOS_LOTE!$B$4)</x:f>
      </x:c>
      <x:c r="D12" s="102" t="str">
        <x:f>IF(DATOS_LOTE!$B$5="","",DATOS_LOTE!$B$5)</x:f>
      </x:c>
      <x:c r="E12" s="100" t="str">
        <x:v>IZQUIERDA</x:v>
      </x:c>
      <x:c r="F12" s="100" t="n">
        <x:v>12</x:v>
      </x:c>
      <x:c r="G12" s="100" t="str">
        <x:v>Arracacha</x:v>
      </x:c>
      <x:c r="H12" s="100" t="str">
        <x:v>arracacha</x:v>
      </x:c>
      <x:c r="I12" s="100" t="str">
        <x:f>IF('FACTURA_LIMPIA'!A12="","",'FACTURA_LIMPIA'!A12)</x:f>
      </x:c>
      <x:c r="J12" s="100" t="str">
        <x:f>IF('FACTURA_LIMPIA'!B12="","",'FACTURA_LIMPIA'!B12)</x:f>
      </x:c>
      <x:c r="K12" s="104" t="str">
        <x:f>IF('FACTURA_LIMPIA'!D12="","",'FACTURA_LIMPIA'!D12)</x:f>
      </x:c>
      <x:c r="L12" s="100" t="str"/>
    </x:row>
    <x:row r="13">
      <x:c r="A13" s="100" t="str">
        <x:v>LAABUNDANCIA_LOTE</x:v>
      </x:c>
      <x:c r="B13" s="100" t="n">
        <x:v>1</x:v>
      </x:c>
      <x:c r="C13" s="100" t="str">
        <x:f>IF(DATOS_LOTE!$B$4="","",DATOS_LOTE!$B$4)</x:f>
      </x:c>
      <x:c r="D13" s="102" t="str">
        <x:f>IF(DATOS_LOTE!$B$5="","",DATOS_LOTE!$B$5)</x:f>
      </x:c>
      <x:c r="E13" s="100" t="str">
        <x:v>IZQUIERDA</x:v>
      </x:c>
      <x:c r="F13" s="100" t="n">
        <x:v>13</x:v>
      </x:c>
      <x:c r="G13" s="100" t="str">
        <x:v>Banano</x:v>
      </x:c>
      <x:c r="H13" s="100" t="str">
        <x:v>banano</x:v>
      </x:c>
      <x:c r="I13" s="100" t="str">
        <x:f>IF('FACTURA_LIMPIA'!A13="","",'FACTURA_LIMPIA'!A13)</x:f>
      </x:c>
      <x:c r="J13" s="100" t="str">
        <x:f>IF('FACTURA_LIMPIA'!B13="","",'FACTURA_LIMPIA'!B13)</x:f>
      </x:c>
      <x:c r="K13" s="104" t="str">
        <x:f>IF('FACTURA_LIMPIA'!D13="","",'FACTURA_LIMPIA'!D13)</x:f>
      </x:c>
      <x:c r="L13" s="100" t="str"/>
    </x:row>
    <x:row r="14">
      <x:c r="A14" s="100" t="str">
        <x:v>LAABUNDANCIA_LOTE</x:v>
      </x:c>
      <x:c r="B14" s="100" t="n">
        <x:v>1</x:v>
      </x:c>
      <x:c r="C14" s="100" t="str">
        <x:f>IF(DATOS_LOTE!$B$4="","",DATOS_LOTE!$B$4)</x:f>
      </x:c>
      <x:c r="D14" s="102" t="str">
        <x:f>IF(DATOS_LOTE!$B$5="","",DATOS_LOTE!$B$5)</x:f>
      </x:c>
      <x:c r="E14" s="100" t="str">
        <x:v>IZQUIERDA</x:v>
      </x:c>
      <x:c r="F14" s="100" t="n">
        <x:v>14</x:v>
      </x:c>
      <x:c r="G14" s="100" t="str">
        <x:v>Berenjena</x:v>
      </x:c>
      <x:c r="H14" s="100" t="str">
        <x:v>berenjena</x:v>
      </x:c>
      <x:c r="I14" s="100" t="str">
        <x:f>IF('FACTURA_LIMPIA'!A14="","",'FACTURA_LIMPIA'!A14)</x:f>
      </x:c>
      <x:c r="J14" s="100" t="str">
        <x:f>IF('FACTURA_LIMPIA'!B14="","",'FACTURA_LIMPIA'!B14)</x:f>
      </x:c>
      <x:c r="K14" s="104" t="str">
        <x:f>IF('FACTURA_LIMPIA'!D14="","",'FACTURA_LIMPIA'!D14)</x:f>
      </x:c>
      <x:c r="L14" s="100" t="str"/>
    </x:row>
    <x:row r="15">
      <x:c r="A15" s="100" t="str">
        <x:v>LAABUNDANCIA_LOTE</x:v>
      </x:c>
      <x:c r="B15" s="100" t="n">
        <x:v>1</x:v>
      </x:c>
      <x:c r="C15" s="100" t="str">
        <x:f>IF(DATOS_LOTE!$B$4="","",DATOS_LOTE!$B$4)</x:f>
      </x:c>
      <x:c r="D15" s="102" t="str">
        <x:f>IF(DATOS_LOTE!$B$5="","",DATOS_LOTE!$B$5)</x:f>
      </x:c>
      <x:c r="E15" s="100" t="str">
        <x:v>IZQUIERDA</x:v>
      </x:c>
      <x:c r="F15" s="100" t="n">
        <x:v>15</x:v>
      </x:c>
      <x:c r="G15" s="100" t="str">
        <x:v>Brócoli</x:v>
      </x:c>
      <x:c r="H15" s="100" t="str">
        <x:v>brocoli</x:v>
      </x:c>
      <x:c r="I15" s="100" t="str">
        <x:f>IF('FACTURA_LIMPIA'!A15="","",'FACTURA_LIMPIA'!A15)</x:f>
      </x:c>
      <x:c r="J15" s="100" t="str">
        <x:f>IF('FACTURA_LIMPIA'!B15="","",'FACTURA_LIMPIA'!B15)</x:f>
      </x:c>
      <x:c r="K15" s="104" t="str">
        <x:f>IF('FACTURA_LIMPIA'!D15="","",'FACTURA_LIMPIA'!D15)</x:f>
      </x:c>
      <x:c r="L15" s="100" t="str"/>
    </x:row>
    <x:row r="16">
      <x:c r="A16" s="100" t="str">
        <x:v>LAABUNDANCIA_LOTE</x:v>
      </x:c>
      <x:c r="B16" s="100" t="n">
        <x:v>1</x:v>
      </x:c>
      <x:c r="C16" s="100" t="str">
        <x:f>IF(DATOS_LOTE!$B$4="","",DATOS_LOTE!$B$4)</x:f>
      </x:c>
      <x:c r="D16" s="102" t="str">
        <x:f>IF(DATOS_LOTE!$B$5="","",DATOS_LOTE!$B$5)</x:f>
      </x:c>
      <x:c r="E16" s="100" t="str">
        <x:v>IZQUIERDA</x:v>
      </x:c>
      <x:c r="F16" s="100" t="n">
        <x:v>16</x:v>
      </x:c>
      <x:c r="G16" s="100" t="str">
        <x:v>Calabaza</x:v>
      </x:c>
      <x:c r="H16" s="100" t="str">
        <x:v>calabaza</x:v>
      </x:c>
      <x:c r="I16" s="100" t="str">
        <x:f>IF('FACTURA_LIMPIA'!A16="","",'FACTURA_LIMPIA'!A16)</x:f>
      </x:c>
      <x:c r="J16" s="100" t="str">
        <x:f>IF('FACTURA_LIMPIA'!B16="","",'FACTURA_LIMPIA'!B16)</x:f>
      </x:c>
      <x:c r="K16" s="104" t="str">
        <x:f>IF('FACTURA_LIMPIA'!D16="","",'FACTURA_LIMPIA'!D16)</x:f>
      </x:c>
      <x:c r="L16" s="100" t="str"/>
    </x:row>
    <x:row r="17">
      <x:c r="A17" s="100" t="str">
        <x:v>LAABUNDANCIA_LOTE</x:v>
      </x:c>
      <x:c r="B17" s="100" t="n">
        <x:v>1</x:v>
      </x:c>
      <x:c r="C17" s="100" t="str">
        <x:f>IF(DATOS_LOTE!$B$4="","",DATOS_LOTE!$B$4)</x:f>
      </x:c>
      <x:c r="D17" s="102" t="str">
        <x:f>IF(DATOS_LOTE!$B$5="","",DATOS_LOTE!$B$5)</x:f>
      </x:c>
      <x:c r="E17" s="100" t="str">
        <x:v>IZQUIERDA</x:v>
      </x:c>
      <x:c r="F17" s="100" t="n">
        <x:v>17</x:v>
      </x:c>
      <x:c r="G17" s="100" t="str">
        <x:v>Calabacín</x:v>
      </x:c>
      <x:c r="H17" s="100" t="str">
        <x:v>calabacin</x:v>
      </x:c>
      <x:c r="I17" s="100" t="str">
        <x:f>IF('FACTURA_LIMPIA'!A17="","",'FACTURA_LIMPIA'!A17)</x:f>
      </x:c>
      <x:c r="J17" s="100" t="str">
        <x:f>IF('FACTURA_LIMPIA'!B17="","",'FACTURA_LIMPIA'!B17)</x:f>
      </x:c>
      <x:c r="K17" s="104" t="str">
        <x:f>IF('FACTURA_LIMPIA'!D17="","",'FACTURA_LIMPIA'!D17)</x:f>
      </x:c>
      <x:c r="L17" s="100" t="str"/>
    </x:row>
    <x:row r="18">
      <x:c r="A18" s="100" t="str">
        <x:v>LAABUNDANCIA_LOTE</x:v>
      </x:c>
      <x:c r="B18" s="100" t="n">
        <x:v>1</x:v>
      </x:c>
      <x:c r="C18" s="100" t="str">
        <x:f>IF(DATOS_LOTE!$B$4="","",DATOS_LOTE!$B$4)</x:f>
      </x:c>
      <x:c r="D18" s="102" t="str">
        <x:f>IF(DATOS_LOTE!$B$5="","",DATOS_LOTE!$B$5)</x:f>
      </x:c>
      <x:c r="E18" s="100" t="str">
        <x:v>IZQUIERDA</x:v>
      </x:c>
      <x:c r="F18" s="100" t="n">
        <x:v>18</x:v>
      </x:c>
      <x:c r="G18" s="100" t="str">
        <x:v>Ceb. Cabezona Blanca</x:v>
      </x:c>
      <x:c r="H18" s="100" t="str">
        <x:v>cebolla_cabezona_blanca</x:v>
      </x:c>
      <x:c r="I18" s="100" t="str">
        <x:f>IF('FACTURA_LIMPIA'!A18="","",'FACTURA_LIMPIA'!A18)</x:f>
      </x:c>
      <x:c r="J18" s="100" t="str">
        <x:f>IF('FACTURA_LIMPIA'!B18="","",'FACTURA_LIMPIA'!B18)</x:f>
      </x:c>
      <x:c r="K18" s="104" t="str">
        <x:f>IF('FACTURA_LIMPIA'!D18="","",'FACTURA_LIMPIA'!D18)</x:f>
      </x:c>
      <x:c r="L18" s="100" t="str"/>
    </x:row>
    <x:row r="19">
      <x:c r="A19" s="100" t="str">
        <x:v>LAABUNDANCIA_LOTE</x:v>
      </x:c>
      <x:c r="B19" s="100" t="n">
        <x:v>1</x:v>
      </x:c>
      <x:c r="C19" s="100" t="str">
        <x:f>IF(DATOS_LOTE!$B$4="","",DATOS_LOTE!$B$4)</x:f>
      </x:c>
      <x:c r="D19" s="102" t="str">
        <x:f>IF(DATOS_LOTE!$B$5="","",DATOS_LOTE!$B$5)</x:f>
      </x:c>
      <x:c r="E19" s="100" t="str">
        <x:v>IZQUIERDA</x:v>
      </x:c>
      <x:c r="F19" s="100" t="n">
        <x:v>19</x:v>
      </x:c>
      <x:c r="G19" s="100" t="str">
        <x:v>Ceb. Cabezona Roja</x:v>
      </x:c>
      <x:c r="H19" s="100" t="str">
        <x:v>cebolla_cabezona_roja</x:v>
      </x:c>
      <x:c r="I19" s="100" t="str">
        <x:f>IF('FACTURA_LIMPIA'!A19="","",'FACTURA_LIMPIA'!A19)</x:f>
      </x:c>
      <x:c r="J19" s="100" t="str">
        <x:f>IF('FACTURA_LIMPIA'!B19="","",'FACTURA_LIMPIA'!B19)</x:f>
      </x:c>
      <x:c r="K19" s="104" t="str">
        <x:f>IF('FACTURA_LIMPIA'!D19="","",'FACTURA_LIMPIA'!D19)</x:f>
      </x:c>
      <x:c r="L19" s="100" t="str"/>
    </x:row>
    <x:row r="20">
      <x:c r="A20" s="100" t="str">
        <x:v>LAABUNDANCIA_LOTE</x:v>
      </x:c>
      <x:c r="B20" s="100" t="n">
        <x:v>1</x:v>
      </x:c>
      <x:c r="C20" s="100" t="str">
        <x:f>IF(DATOS_LOTE!$B$4="","",DATOS_LOTE!$B$4)</x:f>
      </x:c>
      <x:c r="D20" s="102" t="str">
        <x:f>IF(DATOS_LOTE!$B$5="","",DATOS_LOTE!$B$5)</x:f>
      </x:c>
      <x:c r="E20" s="100" t="str">
        <x:v>IZQUIERDA</x:v>
      </x:c>
      <x:c r="F20" s="100" t="n">
        <x:v>20</x:v>
      </x:c>
      <x:c r="G20" s="100" t="str">
        <x:v>Ceb. Larga</x:v>
      </x:c>
      <x:c r="H20" s="100" t="str">
        <x:v>cebolla_larga</x:v>
      </x:c>
      <x:c r="I20" s="100" t="str">
        <x:f>IF('FACTURA_LIMPIA'!A20="","",'FACTURA_LIMPIA'!A20)</x:f>
      </x:c>
      <x:c r="J20" s="100" t="str">
        <x:f>IF('FACTURA_LIMPIA'!B20="","",'FACTURA_LIMPIA'!B20)</x:f>
      </x:c>
      <x:c r="K20" s="104" t="str">
        <x:f>IF('FACTURA_LIMPIA'!D20="","",'FACTURA_LIMPIA'!D20)</x:f>
      </x:c>
      <x:c r="L20" s="100" t="str"/>
    </x:row>
    <x:row r="21">
      <x:c r="A21" s="100" t="str">
        <x:v>LAABUNDANCIA_LOTE</x:v>
      </x:c>
      <x:c r="B21" s="100" t="n">
        <x:v>1</x:v>
      </x:c>
      <x:c r="C21" s="100" t="str">
        <x:f>IF(DATOS_LOTE!$B$4="","",DATOS_LOTE!$B$4)</x:f>
      </x:c>
      <x:c r="D21" s="102" t="str">
        <x:f>IF(DATOS_LOTE!$B$5="","",DATOS_LOTE!$B$5)</x:f>
      </x:c>
      <x:c r="E21" s="100" t="str">
        <x:v>IZQUIERDA</x:v>
      </x:c>
      <x:c r="F21" s="100" t="n">
        <x:v>21</x:v>
      </x:c>
      <x:c r="G21" s="100" t="str">
        <x:v>Ceb. Puerro</x:v>
      </x:c>
      <x:c r="H21" s="100" t="str">
        <x:v>ceb_puerro</x:v>
      </x:c>
      <x:c r="I21" s="100" t="str">
        <x:f>IF('FACTURA_LIMPIA'!A21="","",'FACTURA_LIMPIA'!A21)</x:f>
      </x:c>
      <x:c r="J21" s="100" t="str">
        <x:f>IF('FACTURA_LIMPIA'!B21="","",'FACTURA_LIMPIA'!B21)</x:f>
      </x:c>
      <x:c r="K21" s="104" t="str">
        <x:f>IF('FACTURA_LIMPIA'!D21="","",'FACTURA_LIMPIA'!D21)</x:f>
      </x:c>
      <x:c r="L21" s="100" t="str"/>
    </x:row>
    <x:row r="22">
      <x:c r="A22" s="100" t="str">
        <x:v>LAABUNDANCIA_LOTE</x:v>
      </x:c>
      <x:c r="B22" s="100" t="n">
        <x:v>1</x:v>
      </x:c>
      <x:c r="C22" s="100" t="str">
        <x:f>IF(DATOS_LOTE!$B$4="","",DATOS_LOTE!$B$4)</x:f>
      </x:c>
      <x:c r="D22" s="102" t="str">
        <x:f>IF(DATOS_LOTE!$B$5="","",DATOS_LOTE!$B$5)</x:f>
      </x:c>
      <x:c r="E22" s="100" t="str">
        <x:v>IZQUIERDA</x:v>
      </x:c>
      <x:c r="F22" s="100" t="n">
        <x:v>22</x:v>
      </x:c>
      <x:c r="G22" s="100" t="str">
        <x:v>Cilantro</x:v>
      </x:c>
      <x:c r="H22" s="100" t="str">
        <x:v>cilantro</x:v>
      </x:c>
      <x:c r="I22" s="100" t="str">
        <x:f>IF('FACTURA_LIMPIA'!A22="","",'FACTURA_LIMPIA'!A22)</x:f>
      </x:c>
      <x:c r="J22" s="100" t="str">
        <x:f>IF('FACTURA_LIMPIA'!B22="","",'FACTURA_LIMPIA'!B22)</x:f>
      </x:c>
      <x:c r="K22" s="104" t="str">
        <x:f>IF('FACTURA_LIMPIA'!D22="","",'FACTURA_LIMPIA'!D22)</x:f>
      </x:c>
      <x:c r="L22" s="100" t="str"/>
    </x:row>
    <x:row r="23">
      <x:c r="A23" s="100" t="str">
        <x:v>LAABUNDANCIA_LOTE</x:v>
      </x:c>
      <x:c r="B23" s="100" t="n">
        <x:v>1</x:v>
      </x:c>
      <x:c r="C23" s="100" t="str">
        <x:f>IF(DATOS_LOTE!$B$4="","",DATOS_LOTE!$B$4)</x:f>
      </x:c>
      <x:c r="D23" s="102" t="str">
        <x:f>IF(DATOS_LOTE!$B$5="","",DATOS_LOTE!$B$5)</x:f>
      </x:c>
      <x:c r="E23" s="100" t="str">
        <x:v>IZQUIERDA</x:v>
      </x:c>
      <x:c r="F23" s="100" t="n">
        <x:v>23</x:v>
      </x:c>
      <x:c r="G23" s="100" t="str">
        <x:v>Ciruela</x:v>
      </x:c>
      <x:c r="H23" s="100" t="str">
        <x:v>ciruela</x:v>
      </x:c>
      <x:c r="I23" s="100" t="str">
        <x:f>IF('FACTURA_LIMPIA'!A23="","",'FACTURA_LIMPIA'!A23)</x:f>
      </x:c>
      <x:c r="J23" s="100" t="str">
        <x:f>IF('FACTURA_LIMPIA'!B23="","",'FACTURA_LIMPIA'!B23)</x:f>
      </x:c>
      <x:c r="K23" s="104" t="str">
        <x:f>IF('FACTURA_LIMPIA'!D23="","",'FACTURA_LIMPIA'!D23)</x:f>
      </x:c>
      <x:c r="L23" s="100" t="str"/>
    </x:row>
    <x:row r="24">
      <x:c r="A24" s="100" t="str">
        <x:v>LAABUNDANCIA_LOTE</x:v>
      </x:c>
      <x:c r="B24" s="100" t="n">
        <x:v>1</x:v>
      </x:c>
      <x:c r="C24" s="100" t="str">
        <x:f>IF(DATOS_LOTE!$B$4="","",DATOS_LOTE!$B$4)</x:f>
      </x:c>
      <x:c r="D24" s="102" t="str">
        <x:f>IF(DATOS_LOTE!$B$5="","",DATOS_LOTE!$B$5)</x:f>
      </x:c>
      <x:c r="E24" s="100" t="str">
        <x:v>IZQUIERDA</x:v>
      </x:c>
      <x:c r="F24" s="100" t="n">
        <x:v>24</x:v>
      </x:c>
      <x:c r="G24" s="100" t="str">
        <x:v>Coliflor</x:v>
      </x:c>
      <x:c r="H24" s="100" t="str">
        <x:v>coliflor</x:v>
      </x:c>
      <x:c r="I24" s="100" t="str">
        <x:f>IF('FACTURA_LIMPIA'!A24="","",'FACTURA_LIMPIA'!A24)</x:f>
      </x:c>
      <x:c r="J24" s="100" t="str">
        <x:f>IF('FACTURA_LIMPIA'!B24="","",'FACTURA_LIMPIA'!B24)</x:f>
      </x:c>
      <x:c r="K24" s="104" t="str">
        <x:f>IF('FACTURA_LIMPIA'!D24="","",'FACTURA_LIMPIA'!D24)</x:f>
      </x:c>
      <x:c r="L24" s="100" t="str"/>
    </x:row>
    <x:row r="25">
      <x:c r="A25" s="100" t="str">
        <x:v>LAABUNDANCIA_LOTE</x:v>
      </x:c>
      <x:c r="B25" s="100" t="n">
        <x:v>1</x:v>
      </x:c>
      <x:c r="C25" s="100" t="str">
        <x:f>IF(DATOS_LOTE!$B$4="","",DATOS_LOTE!$B$4)</x:f>
      </x:c>
      <x:c r="D25" s="102" t="str">
        <x:f>IF(DATOS_LOTE!$B$5="","",DATOS_LOTE!$B$5)</x:f>
      </x:c>
      <x:c r="E25" s="100" t="str">
        <x:v>IZQUIERDA</x:v>
      </x:c>
      <x:c r="F25" s="100" t="n">
        <x:v>25</x:v>
      </x:c>
      <x:c r="G25" s="100" t="str">
        <x:v>Curuba</x:v>
      </x:c>
      <x:c r="H25" s="100" t="str">
        <x:v>curuba</x:v>
      </x:c>
      <x:c r="I25" s="100" t="str">
        <x:f>IF('FACTURA_LIMPIA'!A25="","",'FACTURA_LIMPIA'!A25)</x:f>
      </x:c>
      <x:c r="J25" s="100" t="str">
        <x:f>IF('FACTURA_LIMPIA'!B25="","",'FACTURA_LIMPIA'!B25)</x:f>
      </x:c>
      <x:c r="K25" s="104" t="str">
        <x:f>IF('FACTURA_LIMPIA'!D25="","",'FACTURA_LIMPIA'!D25)</x:f>
      </x:c>
      <x:c r="L25" s="100" t="str"/>
    </x:row>
    <x:row r="26">
      <x:c r="A26" s="100" t="str">
        <x:v>LAABUNDANCIA_LOTE</x:v>
      </x:c>
      <x:c r="B26" s="100" t="n">
        <x:v>1</x:v>
      </x:c>
      <x:c r="C26" s="100" t="str">
        <x:f>IF(DATOS_LOTE!$B$4="","",DATOS_LOTE!$B$4)</x:f>
      </x:c>
      <x:c r="D26" s="102" t="str">
        <x:f>IF(DATOS_LOTE!$B$5="","",DATOS_LOTE!$B$5)</x:f>
      </x:c>
      <x:c r="E26" s="100" t="str">
        <x:v>IZQUIERDA</x:v>
      </x:c>
      <x:c r="F26" s="100" t="n">
        <x:v>26</x:v>
      </x:c>
      <x:c r="G26" s="100" t="str">
        <x:v>Champiñón</x:v>
      </x:c>
      <x:c r="H26" s="100" t="str">
        <x:v>champinon</x:v>
      </x:c>
      <x:c r="I26" s="100" t="str">
        <x:f>IF('FACTURA_LIMPIA'!A26="","",'FACTURA_LIMPIA'!A26)</x:f>
      </x:c>
      <x:c r="J26" s="100" t="str">
        <x:f>IF('FACTURA_LIMPIA'!B26="","",'FACTURA_LIMPIA'!B26)</x:f>
      </x:c>
      <x:c r="K26" s="104" t="str">
        <x:f>IF('FACTURA_LIMPIA'!D26="","",'FACTURA_LIMPIA'!D26)</x:f>
      </x:c>
      <x:c r="L26" s="100" t="str"/>
    </x:row>
    <x:row r="27">
      <x:c r="A27" s="100" t="str">
        <x:v>LAABUNDANCIA_LOTE</x:v>
      </x:c>
      <x:c r="B27" s="100" t="n">
        <x:v>1</x:v>
      </x:c>
      <x:c r="C27" s="100" t="str">
        <x:f>IF(DATOS_LOTE!$B$4="","",DATOS_LOTE!$B$4)</x:f>
      </x:c>
      <x:c r="D27" s="102" t="str">
        <x:f>IF(DATOS_LOTE!$B$5="","",DATOS_LOTE!$B$5)</x:f>
      </x:c>
      <x:c r="E27" s="100" t="str">
        <x:v>IZQUIERDA</x:v>
      </x:c>
      <x:c r="F27" s="100" t="n">
        <x:v>27</x:v>
      </x:c>
      <x:c r="G27" s="100" t="str">
        <x:v>Durazno</x:v>
      </x:c>
      <x:c r="H27" s="100" t="str">
        <x:v>durazno</x:v>
      </x:c>
      <x:c r="I27" s="100" t="str">
        <x:f>IF('FACTURA_LIMPIA'!A27="","",'FACTURA_LIMPIA'!A27)</x:f>
      </x:c>
      <x:c r="J27" s="100" t="str">
        <x:f>IF('FACTURA_LIMPIA'!B27="","",'FACTURA_LIMPIA'!B27)</x:f>
      </x:c>
      <x:c r="K27" s="104" t="str">
        <x:f>IF('FACTURA_LIMPIA'!D27="","",'FACTURA_LIMPIA'!D27)</x:f>
      </x:c>
      <x:c r="L27" s="100" t="str"/>
    </x:row>
    <x:row r="28">
      <x:c r="A28" s="100" t="str">
        <x:v>LAABUNDANCIA_LOTE</x:v>
      </x:c>
      <x:c r="B28" s="100" t="n">
        <x:v>1</x:v>
      </x:c>
      <x:c r="C28" s="100" t="str">
        <x:f>IF(DATOS_LOTE!$B$4="","",DATOS_LOTE!$B$4)</x:f>
      </x:c>
      <x:c r="D28" s="102" t="str">
        <x:f>IF(DATOS_LOTE!$B$5="","",DATOS_LOTE!$B$5)</x:f>
      </x:c>
      <x:c r="E28" s="100" t="str">
        <x:v>IZQUIERDA</x:v>
      </x:c>
      <x:c r="F28" s="100" t="n">
        <x:v>28</x:v>
      </x:c>
      <x:c r="G28" s="100" t="str">
        <x:v>Espinaca</x:v>
      </x:c>
      <x:c r="H28" s="100" t="str">
        <x:v>espinaca</x:v>
      </x:c>
      <x:c r="I28" s="100" t="str">
        <x:f>IF('FACTURA_LIMPIA'!A28="","",'FACTURA_LIMPIA'!A28)</x:f>
      </x:c>
      <x:c r="J28" s="100" t="str">
        <x:f>IF('FACTURA_LIMPIA'!B28="","",'FACTURA_LIMPIA'!B28)</x:f>
      </x:c>
      <x:c r="K28" s="104" t="str">
        <x:f>IF('FACTURA_LIMPIA'!D28="","",'FACTURA_LIMPIA'!D28)</x:f>
      </x:c>
      <x:c r="L28" s="100" t="str"/>
    </x:row>
    <x:row r="29">
      <x:c r="A29" s="100" t="str">
        <x:v>LAABUNDANCIA_LOTE</x:v>
      </x:c>
      <x:c r="B29" s="100" t="n">
        <x:v>1</x:v>
      </x:c>
      <x:c r="C29" s="100" t="str">
        <x:f>IF(DATOS_LOTE!$B$4="","",DATOS_LOTE!$B$4)</x:f>
      </x:c>
      <x:c r="D29" s="102" t="str">
        <x:f>IF(DATOS_LOTE!$B$5="","",DATOS_LOTE!$B$5)</x:f>
      </x:c>
      <x:c r="E29" s="100" t="str">
        <x:v>IZQUIERDA</x:v>
      </x:c>
      <x:c r="F29" s="100" t="n">
        <x:v>29</x:v>
      </x:c>
      <x:c r="G29" s="100" t="str">
        <x:v>Fresa</x:v>
      </x:c>
      <x:c r="H29" s="100" t="str">
        <x:v>fresa</x:v>
      </x:c>
      <x:c r="I29" s="100" t="str">
        <x:f>IF('FACTURA_LIMPIA'!A29="","",'FACTURA_LIMPIA'!A29)</x:f>
      </x:c>
      <x:c r="J29" s="100" t="str">
        <x:f>IF('FACTURA_LIMPIA'!B29="","",'FACTURA_LIMPIA'!B29)</x:f>
      </x:c>
      <x:c r="K29" s="104" t="str">
        <x:f>IF('FACTURA_LIMPIA'!D29="","",'FACTURA_LIMPIA'!D29)</x:f>
      </x:c>
      <x:c r="L29" s="100" t="str"/>
    </x:row>
    <x:row r="30">
      <x:c r="A30" s="100" t="str">
        <x:v>LAABUNDANCIA_LOTE</x:v>
      </x:c>
      <x:c r="B30" s="100" t="n">
        <x:v>1</x:v>
      </x:c>
      <x:c r="C30" s="100" t="str">
        <x:f>IF(DATOS_LOTE!$B$4="","",DATOS_LOTE!$B$4)</x:f>
      </x:c>
      <x:c r="D30" s="102" t="str">
        <x:f>IF(DATOS_LOTE!$B$5="","",DATOS_LOTE!$B$5)</x:f>
      </x:c>
      <x:c r="E30" s="100" t="str">
        <x:v>IZQUIERDA</x:v>
      </x:c>
      <x:c r="F30" s="100" t="n">
        <x:v>30</x:v>
      </x:c>
      <x:c r="G30" s="100" t="str">
        <x:v>Fresa Extra</x:v>
      </x:c>
      <x:c r="H30" s="100" t="str">
        <x:v>fresa_extra</x:v>
      </x:c>
      <x:c r="I30" s="100" t="str">
        <x:f>IF('FACTURA_LIMPIA'!A30="","",'FACTURA_LIMPIA'!A30)</x:f>
      </x:c>
      <x:c r="J30" s="100" t="str">
        <x:f>IF('FACTURA_LIMPIA'!B30="","",'FACTURA_LIMPIA'!B30)</x:f>
      </x:c>
      <x:c r="K30" s="104" t="str">
        <x:f>IF('FACTURA_LIMPIA'!D30="","",'FACTURA_LIMPIA'!D30)</x:f>
      </x:c>
      <x:c r="L30" s="100" t="str"/>
    </x:row>
    <x:row r="31">
      <x:c r="A31" s="100" t="str">
        <x:v>LAABUNDANCIA_LOTE</x:v>
      </x:c>
      <x:c r="B31" s="100" t="n">
        <x:v>1</x:v>
      </x:c>
      <x:c r="C31" s="100" t="str">
        <x:f>IF(DATOS_LOTE!$B$4="","",DATOS_LOTE!$B$4)</x:f>
      </x:c>
      <x:c r="D31" s="102" t="str">
        <x:f>IF(DATOS_LOTE!$B$5="","",DATOS_LOTE!$B$5)</x:f>
      </x:c>
      <x:c r="E31" s="100" t="str">
        <x:v>IZQUIERDA</x:v>
      </x:c>
      <x:c r="F31" s="100" t="n">
        <x:v>31</x:v>
      </x:c>
      <x:c r="G31" s="100" t="str">
        <x:v>Frijol Verde</x:v>
      </x:c>
      <x:c r="H31" s="100" t="str">
        <x:v>frijol_verde</x:v>
      </x:c>
      <x:c r="I31" s="100" t="str">
        <x:f>IF('FACTURA_LIMPIA'!A31="","",'FACTURA_LIMPIA'!A31)</x:f>
      </x:c>
      <x:c r="J31" s="100" t="str">
        <x:f>IF('FACTURA_LIMPIA'!B31="","",'FACTURA_LIMPIA'!B31)</x:f>
      </x:c>
      <x:c r="K31" s="104" t="str">
        <x:f>IF('FACTURA_LIMPIA'!D31="","",'FACTURA_LIMPIA'!D31)</x:f>
      </x:c>
      <x:c r="L31" s="100" t="str"/>
    </x:row>
    <x:row r="32">
      <x:c r="A32" s="100" t="str">
        <x:v>LAABUNDANCIA_LOTE</x:v>
      </x:c>
      <x:c r="B32" s="100" t="n">
        <x:v>1</x:v>
      </x:c>
      <x:c r="C32" s="100" t="str">
        <x:f>IF(DATOS_LOTE!$B$4="","",DATOS_LOTE!$B$4)</x:f>
      </x:c>
      <x:c r="D32" s="102" t="str">
        <x:f>IF(DATOS_LOTE!$B$5="","",DATOS_LOTE!$B$5)</x:f>
      </x:c>
      <x:c r="E32" s="100" t="str">
        <x:v>IZQUIERDA</x:v>
      </x:c>
      <x:c r="F32" s="100" t="n">
        <x:v>32</x:v>
      </x:c>
      <x:c r="G32" s="100" t="str">
        <x:v>Jengibre</x:v>
      </x:c>
      <x:c r="H32" s="100" t="str">
        <x:v>jengibre</x:v>
      </x:c>
      <x:c r="I32" s="100" t="str">
        <x:f>IF('FACTURA_LIMPIA'!A32="","",'FACTURA_LIMPIA'!A32)</x:f>
      </x:c>
      <x:c r="J32" s="100" t="str">
        <x:f>IF('FACTURA_LIMPIA'!B32="","",'FACTURA_LIMPIA'!B32)</x:f>
      </x:c>
      <x:c r="K32" s="104" t="str">
        <x:f>IF('FACTURA_LIMPIA'!D32="","",'FACTURA_LIMPIA'!D32)</x:f>
      </x:c>
      <x:c r="L32" s="100" t="str"/>
    </x:row>
    <x:row r="33">
      <x:c r="A33" s="100" t="str">
        <x:v>LAABUNDANCIA_LOTE</x:v>
      </x:c>
      <x:c r="B33" s="100" t="n">
        <x:v>1</x:v>
      </x:c>
      <x:c r="C33" s="100" t="str">
        <x:f>IF(DATOS_LOTE!$B$4="","",DATOS_LOTE!$B$4)</x:f>
      </x:c>
      <x:c r="D33" s="102" t="str">
        <x:f>IF(DATOS_LOTE!$B$5="","",DATOS_LOTE!$B$5)</x:f>
      </x:c>
      <x:c r="E33" s="100" t="str">
        <x:v>IZQUIERDA</x:v>
      </x:c>
      <x:c r="F33" s="100" t="n">
        <x:v>33</x:v>
      </x:c>
      <x:c r="G33" s="100" t="str">
        <x:v>Granadilla</x:v>
      </x:c>
      <x:c r="H33" s="100" t="str">
        <x:v>granadilla</x:v>
      </x:c>
      <x:c r="I33" s="100" t="str">
        <x:f>IF('FACTURA_LIMPIA'!A33="","",'FACTURA_LIMPIA'!A33)</x:f>
      </x:c>
      <x:c r="J33" s="100" t="str">
        <x:f>IF('FACTURA_LIMPIA'!B33="","",'FACTURA_LIMPIA'!B33)</x:f>
      </x:c>
      <x:c r="K33" s="104" t="str">
        <x:f>IF('FACTURA_LIMPIA'!D33="","",'FACTURA_LIMPIA'!D33)</x:f>
      </x:c>
      <x:c r="L33" s="100" t="str"/>
    </x:row>
    <x:row r="34">
      <x:c r="A34" s="100" t="str">
        <x:v>LAABUNDANCIA_LOTE</x:v>
      </x:c>
      <x:c r="B34" s="100" t="n">
        <x:v>1</x:v>
      </x:c>
      <x:c r="C34" s="100" t="str">
        <x:f>IF(DATOS_LOTE!$B$4="","",DATOS_LOTE!$B$4)</x:f>
      </x:c>
      <x:c r="D34" s="102" t="str">
        <x:f>IF(DATOS_LOTE!$B$5="","",DATOS_LOTE!$B$5)</x:f>
      </x:c>
      <x:c r="E34" s="100" t="str">
        <x:v>IZQUIERDA</x:v>
      </x:c>
      <x:c r="F34" s="100" t="n">
        <x:v>34</x:v>
      </x:c>
      <x:c r="G34" s="100" t="str">
        <x:v>Guascas</x:v>
      </x:c>
      <x:c r="H34" s="100" t="str">
        <x:v>guascas</x:v>
      </x:c>
      <x:c r="I34" s="100" t="str">
        <x:f>IF('FACTURA_LIMPIA'!A34="","",'FACTURA_LIMPIA'!A34)</x:f>
      </x:c>
      <x:c r="J34" s="100" t="str">
        <x:f>IF('FACTURA_LIMPIA'!B34="","",'FACTURA_LIMPIA'!B34)</x:f>
      </x:c>
      <x:c r="K34" s="104" t="str">
        <x:f>IF('FACTURA_LIMPIA'!D34="","",'FACTURA_LIMPIA'!D34)</x:f>
      </x:c>
      <x:c r="L34" s="100" t="str"/>
    </x:row>
    <x:row r="35">
      <x:c r="A35" s="100" t="str">
        <x:v>LAABUNDANCIA_LOTE</x:v>
      </x:c>
      <x:c r="B35" s="100" t="n">
        <x:v>1</x:v>
      </x:c>
      <x:c r="C35" s="100" t="str">
        <x:f>IF(DATOS_LOTE!$B$4="","",DATOS_LOTE!$B$4)</x:f>
      </x:c>
      <x:c r="D35" s="102" t="str">
        <x:f>IF(DATOS_LOTE!$B$5="","",DATOS_LOTE!$B$5)</x:f>
      </x:c>
      <x:c r="E35" s="100" t="str">
        <x:v>IZQUIERDA</x:v>
      </x:c>
      <x:c r="F35" s="100" t="n">
        <x:v>35</x:v>
      </x:c>
      <x:c r="G35" s="100" t="str">
        <x:v>Guayaba</x:v>
      </x:c>
      <x:c r="H35" s="100" t="str">
        <x:v>guayaba</x:v>
      </x:c>
      <x:c r="I35" s="100" t="str">
        <x:f>IF('FACTURA_LIMPIA'!A35="","",'FACTURA_LIMPIA'!A35)</x:f>
      </x:c>
      <x:c r="J35" s="100" t="str">
        <x:f>IF('FACTURA_LIMPIA'!B35="","",'FACTURA_LIMPIA'!B35)</x:f>
      </x:c>
      <x:c r="K35" s="104" t="str">
        <x:f>IF('FACTURA_LIMPIA'!D35="","",'FACTURA_LIMPIA'!D35)</x:f>
      </x:c>
      <x:c r="L35" s="100" t="str"/>
    </x:row>
    <x:row r="36">
      <x:c r="A36" s="100" t="str">
        <x:v>LAABUNDANCIA_LOTE</x:v>
      </x:c>
      <x:c r="B36" s="100" t="n">
        <x:v>1</x:v>
      </x:c>
      <x:c r="C36" s="100" t="str">
        <x:f>IF(DATOS_LOTE!$B$4="","",DATOS_LOTE!$B$4)</x:f>
      </x:c>
      <x:c r="D36" s="102" t="str">
        <x:f>IF(DATOS_LOTE!$B$5="","",DATOS_LOTE!$B$5)</x:f>
      </x:c>
      <x:c r="E36" s="100" t="str">
        <x:v>IZQUIERDA</x:v>
      </x:c>
      <x:c r="F36" s="100" t="n">
        <x:v>36</x:v>
      </x:c>
      <x:c r="G36" s="100" t="str">
        <x:v>Guayaba Pera</x:v>
      </x:c>
      <x:c r="H36" s="100" t="str">
        <x:v>guayaba_pera</x:v>
      </x:c>
      <x:c r="I36" s="100" t="str">
        <x:f>IF('FACTURA_LIMPIA'!A36="","",'FACTURA_LIMPIA'!A36)</x:f>
      </x:c>
      <x:c r="J36" s="100" t="str">
        <x:f>IF('FACTURA_LIMPIA'!B36="","",'FACTURA_LIMPIA'!B36)</x:f>
      </x:c>
      <x:c r="K36" s="104" t="str">
        <x:f>IF('FACTURA_LIMPIA'!D36="","",'FACTURA_LIMPIA'!D36)</x:f>
      </x:c>
      <x:c r="L36" s="100" t="str"/>
    </x:row>
    <x:row r="37">
      <x:c r="A37" s="100" t="str">
        <x:v>LAABUNDANCIA_LOTE</x:v>
      </x:c>
      <x:c r="B37" s="100" t="n">
        <x:v>1</x:v>
      </x:c>
      <x:c r="C37" s="100" t="str">
        <x:f>IF(DATOS_LOTE!$B$4="","",DATOS_LOTE!$B$4)</x:f>
      </x:c>
      <x:c r="D37" s="102" t="str">
        <x:f>IF(DATOS_LOTE!$B$5="","",DATOS_LOTE!$B$5)</x:f>
      </x:c>
      <x:c r="E37" s="100" t="str">
        <x:v>IZQUIERDA</x:v>
      </x:c>
      <x:c r="F37" s="100" t="n">
        <x:v>37</x:v>
      </x:c>
      <x:c r="G37" s="100" t="str">
        <x:v>Guatila</x:v>
      </x:c>
      <x:c r="H37" s="100" t="str">
        <x:v>guatila</x:v>
      </x:c>
      <x:c r="I37" s="100" t="str">
        <x:f>IF('FACTURA_LIMPIA'!A37="","",'FACTURA_LIMPIA'!A37)</x:f>
      </x:c>
      <x:c r="J37" s="100" t="str">
        <x:f>IF('FACTURA_LIMPIA'!B37="","",'FACTURA_LIMPIA'!B37)</x:f>
      </x:c>
      <x:c r="K37" s="104" t="str">
        <x:f>IF('FACTURA_LIMPIA'!D37="","",'FACTURA_LIMPIA'!D37)</x:f>
      </x:c>
      <x:c r="L37" s="100" t="str"/>
    </x:row>
    <x:row r="38">
      <x:c r="A38" s="100" t="str">
        <x:v>LAABUNDANCIA_LOTE</x:v>
      </x:c>
      <x:c r="B38" s="100" t="n">
        <x:v>1</x:v>
      </x:c>
      <x:c r="C38" s="100" t="str">
        <x:f>IF(DATOS_LOTE!$B$4="","",DATOS_LOTE!$B$4)</x:f>
      </x:c>
      <x:c r="D38" s="102" t="str">
        <x:f>IF(DATOS_LOTE!$B$5="","",DATOS_LOTE!$B$5)</x:f>
      </x:c>
      <x:c r="E38" s="100" t="str">
        <x:v>IZQUIERDA</x:v>
      </x:c>
      <x:c r="F38" s="100" t="n">
        <x:v>38</x:v>
      </x:c>
      <x:c r="G38" s="100" t="str">
        <x:v>Guanábana</x:v>
      </x:c>
      <x:c r="H38" s="100" t="str">
        <x:v>guanabana_fresca</x:v>
      </x:c>
      <x:c r="I38" s="100" t="str">
        <x:f>IF('FACTURA_LIMPIA'!A38="","",'FACTURA_LIMPIA'!A38)</x:f>
      </x:c>
      <x:c r="J38" s="100" t="str">
        <x:f>IF('FACTURA_LIMPIA'!B38="","",'FACTURA_LIMPIA'!B38)</x:f>
      </x:c>
      <x:c r="K38" s="104" t="str">
        <x:f>IF('FACTURA_LIMPIA'!D38="","",'FACTURA_LIMPIA'!D38)</x:f>
      </x:c>
      <x:c r="L38" s="100" t="str"/>
    </x:row>
    <x:row r="39">
      <x:c r="A39" s="100" t="str">
        <x:v>LAABUNDANCIA_LOTE</x:v>
      </x:c>
      <x:c r="B39" s="100" t="n">
        <x:v>1</x:v>
      </x:c>
      <x:c r="C39" s="100" t="str">
        <x:f>IF(DATOS_LOTE!$B$4="","",DATOS_LOTE!$B$4)</x:f>
      </x:c>
      <x:c r="D39" s="102" t="str">
        <x:f>IF(DATOS_LOTE!$B$5="","",DATOS_LOTE!$B$5)</x:f>
      </x:c>
      <x:c r="E39" s="100" t="str">
        <x:v>IZQUIERDA</x:v>
      </x:c>
      <x:c r="F39" s="100" t="n">
        <x:v>39</x:v>
      </x:c>
      <x:c r="G39" s="100" t="str">
        <x:v>Habas</x:v>
      </x:c>
      <x:c r="H39" s="100" t="str">
        <x:v>habas</x:v>
      </x:c>
      <x:c r="I39" s="100" t="str">
        <x:f>IF('FACTURA_LIMPIA'!A39="","",'FACTURA_LIMPIA'!A39)</x:f>
      </x:c>
      <x:c r="J39" s="100" t="str">
        <x:f>IF('FACTURA_LIMPIA'!B39="","",'FACTURA_LIMPIA'!B39)</x:f>
      </x:c>
      <x:c r="K39" s="104" t="str">
        <x:f>IF('FACTURA_LIMPIA'!D39="","",'FACTURA_LIMPIA'!D39)</x:f>
      </x:c>
      <x:c r="L39" s="100" t="str"/>
    </x:row>
    <x:row r="40">
      <x:c r="A40" s="100" t="str">
        <x:v>LAABUNDANCIA_LOTE</x:v>
      </x:c>
      <x:c r="B40" s="100" t="n">
        <x:v>1</x:v>
      </x:c>
      <x:c r="C40" s="100" t="str">
        <x:f>IF(DATOS_LOTE!$B$4="","",DATOS_LOTE!$B$4)</x:f>
      </x:c>
      <x:c r="D40" s="102" t="str">
        <x:f>IF(DATOS_LOTE!$B$5="","",DATOS_LOTE!$B$5)</x:f>
      </x:c>
      <x:c r="E40" s="100" t="str">
        <x:v>IZQUIERDA</x:v>
      </x:c>
      <x:c r="F40" s="100" t="n">
        <x:v>40</x:v>
      </x:c>
      <x:c r="G40" s="100" t="str">
        <x:v>Habichuela</x:v>
      </x:c>
      <x:c r="H40" s="100" t="str">
        <x:v>habichuela</x:v>
      </x:c>
      <x:c r="I40" s="100" t="str">
        <x:f>IF('FACTURA_LIMPIA'!A40="","",'FACTURA_LIMPIA'!A40)</x:f>
      </x:c>
      <x:c r="J40" s="100" t="str">
        <x:f>IF('FACTURA_LIMPIA'!B40="","",'FACTURA_LIMPIA'!B40)</x:f>
      </x:c>
      <x:c r="K40" s="104" t="str">
        <x:f>IF('FACTURA_LIMPIA'!D40="","",'FACTURA_LIMPIA'!D40)</x:f>
      </x:c>
      <x:c r="L40" s="100" t="str"/>
    </x:row>
    <x:row r="41">
      <x:c r="A41" s="100" t="str">
        <x:v>LAABUNDANCIA_LOTE</x:v>
      </x:c>
      <x:c r="B41" s="100" t="n">
        <x:v>1</x:v>
      </x:c>
      <x:c r="C41" s="100" t="str">
        <x:f>IF(DATOS_LOTE!$B$4="","",DATOS_LOTE!$B$4)</x:f>
      </x:c>
      <x:c r="D41" s="102" t="str">
        <x:f>IF(DATOS_LOTE!$B$5="","",DATOS_LOTE!$B$5)</x:f>
      </x:c>
      <x:c r="E41" s="100" t="str">
        <x:v>IZQUIERDA</x:v>
      </x:c>
      <x:c r="F41" s="100" t="n">
        <x:v>41</x:v>
      </x:c>
      <x:c r="G41" s="100" t="str">
        <x:v>Kiwi</x:v>
      </x:c>
      <x:c r="H41" s="100" t="str">
        <x:v>kiwi</x:v>
      </x:c>
      <x:c r="I41" s="100" t="str">
        <x:f>IF('FACTURA_LIMPIA'!A41="","",'FACTURA_LIMPIA'!A41)</x:f>
      </x:c>
      <x:c r="J41" s="100" t="str">
        <x:f>IF('FACTURA_LIMPIA'!B41="","",'FACTURA_LIMPIA'!B41)</x:f>
      </x:c>
      <x:c r="K41" s="104" t="str">
        <x:f>IF('FACTURA_LIMPIA'!D41="","",'FACTURA_LIMPIA'!D41)</x:f>
      </x:c>
      <x:c r="L41" s="100" t="str"/>
    </x:row>
    <x:row r="42">
      <x:c r="A42" s="100" t="str">
        <x:v>LAABUNDANCIA_LOTE</x:v>
      </x:c>
      <x:c r="B42" s="100" t="n">
        <x:v>1</x:v>
      </x:c>
      <x:c r="C42" s="100" t="str">
        <x:f>IF(DATOS_LOTE!$B$4="","",DATOS_LOTE!$B$4)</x:f>
      </x:c>
      <x:c r="D42" s="102" t="str">
        <x:f>IF(DATOS_LOTE!$B$5="","",DATOS_LOTE!$B$5)</x:f>
      </x:c>
      <x:c r="E42" s="100" t="str">
        <x:v>IZQUIERDA</x:v>
      </x:c>
      <x:c r="F42" s="100" t="n">
        <x:v>42</x:v>
      </x:c>
      <x:c r="G42" s="100" t="str">
        <x:v>Lechuga Crespa</x:v>
      </x:c>
      <x:c r="H42" s="100" t="str">
        <x:v>lechuga_crespa</x:v>
      </x:c>
      <x:c r="I42" s="100" t="str">
        <x:f>IF('FACTURA_LIMPIA'!A42="","",'FACTURA_LIMPIA'!A42)</x:f>
      </x:c>
      <x:c r="J42" s="100" t="str">
        <x:f>IF('FACTURA_LIMPIA'!B42="","",'FACTURA_LIMPIA'!B42)</x:f>
      </x:c>
      <x:c r="K42" s="104" t="str">
        <x:f>IF('FACTURA_LIMPIA'!D42="","",'FACTURA_LIMPIA'!D42)</x:f>
      </x:c>
      <x:c r="L42" s="100" t="str"/>
    </x:row>
    <x:row r="43">
      <x:c r="A43" s="100" t="str">
        <x:v>LAABUNDANCIA_LOTE</x:v>
      </x:c>
      <x:c r="B43" s="100" t="n">
        <x:v>1</x:v>
      </x:c>
      <x:c r="C43" s="100" t="str">
        <x:f>IF(DATOS_LOTE!$B$4="","",DATOS_LOTE!$B$4)</x:f>
      </x:c>
      <x:c r="D43" s="102" t="str">
        <x:f>IF(DATOS_LOTE!$B$5="","",DATOS_LOTE!$B$5)</x:f>
      </x:c>
      <x:c r="E43" s="100" t="str">
        <x:v>IZQUIERDA</x:v>
      </x:c>
      <x:c r="F43" s="100" t="n">
        <x:v>43</x:v>
      </x:c>
      <x:c r="G43" s="100" t="str">
        <x:v>Lechuga Batavia</x:v>
      </x:c>
      <x:c r="H43" s="100" t="str">
        <x:v>lechuga_batavia</x:v>
      </x:c>
      <x:c r="I43" s="100" t="str">
        <x:f>IF('FACTURA_LIMPIA'!A43="","",'FACTURA_LIMPIA'!A43)</x:f>
      </x:c>
      <x:c r="J43" s="100" t="str">
        <x:f>IF('FACTURA_LIMPIA'!B43="","",'FACTURA_LIMPIA'!B43)</x:f>
      </x:c>
      <x:c r="K43" s="104" t="str">
        <x:f>IF('FACTURA_LIMPIA'!D43="","",'FACTURA_LIMPIA'!D43)</x:f>
      </x:c>
      <x:c r="L43" s="100" t="str"/>
    </x:row>
    <x:row r="44">
      <x:c r="A44" s="100" t="str">
        <x:v>LAABUNDANCIA_LOTE</x:v>
      </x:c>
      <x:c r="B44" s="100" t="n">
        <x:v>1</x:v>
      </x:c>
      <x:c r="C44" s="100" t="str">
        <x:f>IF(DATOS_LOTE!$B$4="","",DATOS_LOTE!$B$4)</x:f>
      </x:c>
      <x:c r="D44" s="102" t="str">
        <x:f>IF(DATOS_LOTE!$B$5="","",DATOS_LOTE!$B$5)</x:f>
      </x:c>
      <x:c r="E44" s="100" t="str">
        <x:v>IZQUIERDA</x:v>
      </x:c>
      <x:c r="F44" s="100" t="n">
        <x:v>44</x:v>
      </x:c>
      <x:c r="G44" s="100" t="str">
        <x:v>Limón Taití</x:v>
      </x:c>
      <x:c r="H44" s="100" t="str">
        <x:v>limon_taiti</x:v>
      </x:c>
      <x:c r="I44" s="100" t="str">
        <x:f>IF('FACTURA_LIMPIA'!A44="","",'FACTURA_LIMPIA'!A44)</x:f>
      </x:c>
      <x:c r="J44" s="100" t="str">
        <x:f>IF('FACTURA_LIMPIA'!B44="","",'FACTURA_LIMPIA'!B44)</x:f>
      </x:c>
      <x:c r="K44" s="104" t="str">
        <x:f>IF('FACTURA_LIMPIA'!D44="","",'FACTURA_LIMPIA'!D44)</x:f>
      </x:c>
      <x:c r="L44" s="100" t="str"/>
    </x:row>
    <x:row r="45">
      <x:c r="A45" s="100" t="str">
        <x:v>LAABUNDANCIA_LOTE</x:v>
      </x:c>
      <x:c r="B45" s="100" t="n">
        <x:v>1</x:v>
      </x:c>
      <x:c r="C45" s="100" t="str">
        <x:f>IF(DATOS_LOTE!$B$4="","",DATOS_LOTE!$B$4)</x:f>
      </x:c>
      <x:c r="D45" s="102" t="str">
        <x:f>IF(DATOS_LOTE!$B$5="","",DATOS_LOTE!$B$5)</x:f>
      </x:c>
      <x:c r="E45" s="100" t="str">
        <x:v>IZQUIERDA</x:v>
      </x:c>
      <x:c r="F45" s="100" t="n">
        <x:v>45</x:v>
      </x:c>
      <x:c r="G45" s="100" t="str">
        <x:v>Limón Castilla</x:v>
      </x:c>
      <x:c r="H45" s="100" t="str">
        <x:v>limon_castilla_docena</x:v>
      </x:c>
      <x:c r="I45" s="100" t="str">
        <x:f>IF('FACTURA_LIMPIA'!A45="","",'FACTURA_LIMPIA'!A45)</x:f>
      </x:c>
      <x:c r="J45" s="100" t="str">
        <x:f>IF('FACTURA_LIMPIA'!B45="","",'FACTURA_LIMPIA'!B45)</x:f>
      </x:c>
      <x:c r="K45" s="104" t="str">
        <x:f>IF('FACTURA_LIMPIA'!D45="","",'FACTURA_LIMPIA'!D45)</x:f>
      </x:c>
      <x:c r="L45" s="100" t="str"/>
    </x:row>
    <x:row r="46">
      <x:c r="A46" s="100" t="str">
        <x:v>LAABUNDANCIA_LOTE</x:v>
      </x:c>
      <x:c r="B46" s="100" t="n">
        <x:v>1</x:v>
      </x:c>
      <x:c r="C46" s="100" t="str">
        <x:f>IF(DATOS_LOTE!$B$4="","",DATOS_LOTE!$B$4)</x:f>
      </x:c>
      <x:c r="D46" s="102" t="str">
        <x:f>IF(DATOS_LOTE!$B$5="","",DATOS_LOTE!$B$5)</x:f>
      </x:c>
      <x:c r="E46" s="100" t="str">
        <x:v>IZQUIERDA</x:v>
      </x:c>
      <x:c r="F46" s="100" t="n">
        <x:v>46</x:v>
      </x:c>
      <x:c r="G46" s="100" t="str">
        <x:v>Limón Mandarino</x:v>
      </x:c>
      <x:c r="H46" s="100" t="str">
        <x:v>limon_mandarino</x:v>
      </x:c>
      <x:c r="I46" s="100" t="str">
        <x:f>IF('FACTURA_LIMPIA'!A46="","",'FACTURA_LIMPIA'!A46)</x:f>
      </x:c>
      <x:c r="J46" s="100" t="str">
        <x:f>IF('FACTURA_LIMPIA'!B46="","",'FACTURA_LIMPIA'!B46)</x:f>
      </x:c>
      <x:c r="K46" s="104" t="str">
        <x:f>IF('FACTURA_LIMPIA'!D46="","",'FACTURA_LIMPIA'!D46)</x:f>
      </x:c>
      <x:c r="L46" s="100" t="str"/>
    </x:row>
    <x:row r="47">
      <x:c r="A47" s="100" t="str">
        <x:v>LAABUNDANCIA_LOTE</x:v>
      </x:c>
      <x:c r="B47" s="100" t="n">
        <x:v>1</x:v>
      </x:c>
      <x:c r="C47" s="100" t="str">
        <x:f>IF(DATOS_LOTE!$B$4="","",DATOS_LOTE!$B$4)</x:f>
      </x:c>
      <x:c r="D47" s="102" t="str">
        <x:f>IF(DATOS_LOTE!$B$5="","",DATOS_LOTE!$B$5)</x:f>
      </x:c>
      <x:c r="E47" s="100" t="str">
        <x:v>IZQUIERDA</x:v>
      </x:c>
      <x:c r="F47" s="100" t="n">
        <x:v>47</x:v>
      </x:c>
      <x:c r="G47" s="100" t="str">
        <x:v>Lulo</x:v>
      </x:c>
      <x:c r="H47" s="100" t="str">
        <x:v>lulo_fresco</x:v>
      </x:c>
      <x:c r="I47" s="100" t="str">
        <x:f>IF('FACTURA_LIMPIA'!A47="","",'FACTURA_LIMPIA'!A47)</x:f>
      </x:c>
      <x:c r="J47" s="100" t="str">
        <x:f>IF('FACTURA_LIMPIA'!B47="","",'FACTURA_LIMPIA'!B47)</x:f>
      </x:c>
      <x:c r="K47" s="104" t="str">
        <x:f>IF('FACTURA_LIMPIA'!D47="","",'FACTURA_LIMPIA'!D47)</x:f>
      </x:c>
      <x:c r="L47" s="100" t="str"/>
    </x:row>
    <x:row r="48">
      <x:c r="A48" s="100" t="str">
        <x:v>LAABUNDANCIA_LOTE</x:v>
      </x:c>
      <x:c r="B48" s="100" t="n">
        <x:v>1</x:v>
      </x:c>
      <x:c r="C48" s="100" t="str">
        <x:f>IF(DATOS_LOTE!$B$4="","",DATOS_LOTE!$B$4)</x:f>
      </x:c>
      <x:c r="D48" s="102" t="str">
        <x:f>IF(DATOS_LOTE!$B$5="","",DATOS_LOTE!$B$5)</x:f>
      </x:c>
      <x:c r="E48" s="100" t="str">
        <x:v>DERECHA</x:v>
      </x:c>
      <x:c r="F48" s="100" t="n">
        <x:v>2</x:v>
      </x:c>
      <x:c r="G48" s="100" t="str">
        <x:v>Maíz por Arroba</x:v>
      </x:c>
      <x:c r="H48" s="100" t="str">
        <x:v>maiz_por_arroba</x:v>
      </x:c>
      <x:c r="I48" s="100" t="str">
        <x:f>IF('FACTURA_LIMPIA'!F2="","",'FACTURA_LIMPIA'!F2)</x:f>
      </x:c>
      <x:c r="J48" s="100" t="str">
        <x:f>IF('FACTURA_LIMPIA'!G2="","",'FACTURA_LIMPIA'!G2)</x:f>
      </x:c>
      <x:c r="K48" s="104" t="str">
        <x:f>IF('FACTURA_LIMPIA'!I2="","",'FACTURA_LIMPIA'!I2)</x:f>
      </x:c>
      <x:c r="L48" s="100" t="str"/>
    </x:row>
    <x:row r="49">
      <x:c r="A49" s="100" t="str">
        <x:v>LAABUNDANCIA_LOTE</x:v>
      </x:c>
      <x:c r="B49" s="100" t="n">
        <x:v>1</x:v>
      </x:c>
      <x:c r="C49" s="100" t="str">
        <x:f>IF(DATOS_LOTE!$B$4="","",DATOS_LOTE!$B$4)</x:f>
      </x:c>
      <x:c r="D49" s="102" t="str">
        <x:f>IF(DATOS_LOTE!$B$5="","",DATOS_LOTE!$B$5)</x:f>
      </x:c>
      <x:c r="E49" s="100" t="str">
        <x:v>DERECHA</x:v>
      </x:c>
      <x:c r="F49" s="100" t="n">
        <x:v>3</x:v>
      </x:c>
      <x:c r="G49" s="100" t="str">
        <x:v>Maíz Entero</x:v>
      </x:c>
      <x:c r="H49" s="100" t="str">
        <x:v>maiz_entero</x:v>
      </x:c>
      <x:c r="I49" s="100" t="str">
        <x:f>IF('FACTURA_LIMPIA'!F3="","",'FACTURA_LIMPIA'!F3)</x:f>
      </x:c>
      <x:c r="J49" s="100" t="str">
        <x:f>IF('FACTURA_LIMPIA'!G3="","",'FACTURA_LIMPIA'!G3)</x:f>
      </x:c>
      <x:c r="K49" s="104" t="str">
        <x:f>IF('FACTURA_LIMPIA'!I3="","",'FACTURA_LIMPIA'!I3)</x:f>
      </x:c>
      <x:c r="L49" s="100" t="str"/>
    </x:row>
    <x:row r="50">
      <x:c r="A50" s="100" t="str">
        <x:v>LAABUNDANCIA_LOTE</x:v>
      </x:c>
      <x:c r="B50" s="100" t="n">
        <x:v>1</x:v>
      </x:c>
      <x:c r="C50" s="100" t="str">
        <x:f>IF(DATOS_LOTE!$B$4="","",DATOS_LOTE!$B$4)</x:f>
      </x:c>
      <x:c r="D50" s="102" t="str">
        <x:f>IF(DATOS_LOTE!$B$5="","",DATOS_LOTE!$B$5)</x:f>
      </x:c>
      <x:c r="E50" s="100" t="str">
        <x:v>DERECHA</x:v>
      </x:c>
      <x:c r="F50" s="100" t="n">
        <x:v>4</x:v>
      </x:c>
      <x:c r="G50" s="100" t="str">
        <x:v>Maíz Partido</x:v>
      </x:c>
      <x:c r="H50" s="100" t="str">
        <x:v>maiz_partido</x:v>
      </x:c>
      <x:c r="I50" s="100" t="str">
        <x:f>IF('FACTURA_LIMPIA'!F4="","",'FACTURA_LIMPIA'!F4)</x:f>
      </x:c>
      <x:c r="J50" s="100" t="str">
        <x:f>IF('FACTURA_LIMPIA'!G4="","",'FACTURA_LIMPIA'!G4)</x:f>
      </x:c>
      <x:c r="K50" s="104" t="str">
        <x:f>IF('FACTURA_LIMPIA'!I4="","",'FACTURA_LIMPIA'!I4)</x:f>
      </x:c>
      <x:c r="L50" s="100" t="str"/>
    </x:row>
    <x:row r="51">
      <x:c r="A51" s="100" t="str">
        <x:v>LAABUNDANCIA_LOTE</x:v>
      </x:c>
      <x:c r="B51" s="100" t="n">
        <x:v>1</x:v>
      </x:c>
      <x:c r="C51" s="100" t="str">
        <x:f>IF(DATOS_LOTE!$B$4="","",DATOS_LOTE!$B$4)</x:f>
      </x:c>
      <x:c r="D51" s="102" t="str">
        <x:f>IF(DATOS_LOTE!$B$5="","",DATOS_LOTE!$B$5)</x:f>
      </x:c>
      <x:c r="E51" s="100" t="str">
        <x:v>DERECHA</x:v>
      </x:c>
      <x:c r="F51" s="100" t="n">
        <x:v>5</x:v>
      </x:c>
      <x:c r="G51" s="100" t="str">
        <x:v>Mandarina</x:v>
      </x:c>
      <x:c r="H51" s="100" t="str">
        <x:v>mandarina</x:v>
      </x:c>
      <x:c r="I51" s="100" t="str">
        <x:f>IF('FACTURA_LIMPIA'!F5="","",'FACTURA_LIMPIA'!F5)</x:f>
      </x:c>
      <x:c r="J51" s="100" t="str">
        <x:f>IF('FACTURA_LIMPIA'!G5="","",'FACTURA_LIMPIA'!G5)</x:f>
      </x:c>
      <x:c r="K51" s="104" t="str">
        <x:f>IF('FACTURA_LIMPIA'!I5="","",'FACTURA_LIMPIA'!I5)</x:f>
      </x:c>
      <x:c r="L51" s="100" t="str"/>
    </x:row>
    <x:row r="52">
      <x:c r="A52" s="100" t="str">
        <x:v>LAABUNDANCIA_LOTE</x:v>
      </x:c>
      <x:c r="B52" s="100" t="n">
        <x:v>1</x:v>
      </x:c>
      <x:c r="C52" s="100" t="str">
        <x:f>IF(DATOS_LOTE!$B$4="","",DATOS_LOTE!$B$4)</x:f>
      </x:c>
      <x:c r="D52" s="102" t="str">
        <x:f>IF(DATOS_LOTE!$B$5="","",DATOS_LOTE!$B$5)</x:f>
      </x:c>
      <x:c r="E52" s="100" t="str">
        <x:v>DERECHA</x:v>
      </x:c>
      <x:c r="F52" s="100" t="n">
        <x:v>6</x:v>
      </x:c>
      <x:c r="G52" s="100" t="str">
        <x:v>Mango</x:v>
      </x:c>
      <x:c r="H52" s="100" t="str">
        <x:v>mango</x:v>
      </x:c>
      <x:c r="I52" s="100" t="str">
        <x:f>IF('FACTURA_LIMPIA'!F6="","",'FACTURA_LIMPIA'!F6)</x:f>
      </x:c>
      <x:c r="J52" s="100" t="str">
        <x:f>IF('FACTURA_LIMPIA'!G6="","",'FACTURA_LIMPIA'!G6)</x:f>
      </x:c>
      <x:c r="K52" s="104" t="str">
        <x:f>IF('FACTURA_LIMPIA'!I6="","",'FACTURA_LIMPIA'!I6)</x:f>
      </x:c>
      <x:c r="L52" s="100" t="str"/>
    </x:row>
    <x:row r="53">
      <x:c r="A53" s="100" t="str">
        <x:v>LAABUNDANCIA_LOTE</x:v>
      </x:c>
      <x:c r="B53" s="100" t="n">
        <x:v>1</x:v>
      </x:c>
      <x:c r="C53" s="100" t="str">
        <x:f>IF(DATOS_LOTE!$B$4="","",DATOS_LOTE!$B$4)</x:f>
      </x:c>
      <x:c r="D53" s="102" t="str">
        <x:f>IF(DATOS_LOTE!$B$5="","",DATOS_LOTE!$B$5)</x:f>
      </x:c>
      <x:c r="E53" s="100" t="str">
        <x:v>DERECHA</x:v>
      </x:c>
      <x:c r="F53" s="100" t="n">
        <x:v>7</x:v>
      </x:c>
      <x:c r="G53" s="100" t="str">
        <x:v>Manzana Verde</x:v>
      </x:c>
      <x:c r="H53" s="100" t="str">
        <x:v>manzana_verde</x:v>
      </x:c>
      <x:c r="I53" s="100" t="str">
        <x:f>IF('FACTURA_LIMPIA'!F7="","",'FACTURA_LIMPIA'!F7)</x:f>
      </x:c>
      <x:c r="J53" s="100" t="str">
        <x:f>IF('FACTURA_LIMPIA'!G7="","",'FACTURA_LIMPIA'!G7)</x:f>
      </x:c>
      <x:c r="K53" s="104" t="str">
        <x:f>IF('FACTURA_LIMPIA'!I7="","",'FACTURA_LIMPIA'!I7)</x:f>
      </x:c>
      <x:c r="L53" s="100" t="str"/>
    </x:row>
    <x:row r="54">
      <x:c r="A54" s="100" t="str">
        <x:v>LAABUNDANCIA_LOTE</x:v>
      </x:c>
      <x:c r="B54" s="100" t="n">
        <x:v>1</x:v>
      </x:c>
      <x:c r="C54" s="100" t="str">
        <x:f>IF(DATOS_LOTE!$B$4="","",DATOS_LOTE!$B$4)</x:f>
      </x:c>
      <x:c r="D54" s="102" t="str">
        <x:f>IF(DATOS_LOTE!$B$5="","",DATOS_LOTE!$B$5)</x:f>
      </x:c>
      <x:c r="E54" s="100" t="str">
        <x:v>DERECHA</x:v>
      </x:c>
      <x:c r="F54" s="100" t="n">
        <x:v>8</x:v>
      </x:c>
      <x:c r="G54" s="100" t="str">
        <x:v>Manzana Roja</x:v>
      </x:c>
      <x:c r="H54" s="100" t="str">
        <x:v>manzana_roja</x:v>
      </x:c>
      <x:c r="I54" s="100" t="str">
        <x:f>IF('FACTURA_LIMPIA'!F8="","",'FACTURA_LIMPIA'!F8)</x:f>
      </x:c>
      <x:c r="J54" s="100" t="str">
        <x:f>IF('FACTURA_LIMPIA'!G8="","",'FACTURA_LIMPIA'!G8)</x:f>
      </x:c>
      <x:c r="K54" s="104" t="str">
        <x:f>IF('FACTURA_LIMPIA'!I8="","",'FACTURA_LIMPIA'!I8)</x:f>
      </x:c>
      <x:c r="L54" s="100" t="str"/>
    </x:row>
    <x:row r="55">
      <x:c r="A55" s="100" t="str">
        <x:v>LAABUNDANCIA_LOTE</x:v>
      </x:c>
      <x:c r="B55" s="100" t="n">
        <x:v>1</x:v>
      </x:c>
      <x:c r="C55" s="100" t="str">
        <x:f>IF(DATOS_LOTE!$B$4="","",DATOS_LOTE!$B$4)</x:f>
      </x:c>
      <x:c r="D55" s="102" t="str">
        <x:f>IF(DATOS_LOTE!$B$5="","",DATOS_LOTE!$B$5)</x:f>
      </x:c>
      <x:c r="E55" s="100" t="str">
        <x:v>DERECHA</x:v>
      </x:c>
      <x:c r="F55" s="100" t="n">
        <x:v>9</x:v>
      </x:c>
      <x:c r="G55" s="100" t="str">
        <x:v>Manzana Royale</x:v>
      </x:c>
      <x:c r="H55" s="100" t="str">
        <x:v>manzana_royale</x:v>
      </x:c>
      <x:c r="I55" s="100" t="str">
        <x:f>IF('FACTURA_LIMPIA'!F9="","",'FACTURA_LIMPIA'!F9)</x:f>
      </x:c>
      <x:c r="J55" s="100" t="str">
        <x:f>IF('FACTURA_LIMPIA'!G9="","",'FACTURA_LIMPIA'!G9)</x:f>
      </x:c>
      <x:c r="K55" s="104" t="str">
        <x:f>IF('FACTURA_LIMPIA'!I9="","",'FACTURA_LIMPIA'!I9)</x:f>
      </x:c>
      <x:c r="L55" s="100" t="str"/>
    </x:row>
    <x:row r="56">
      <x:c r="A56" s="100" t="str">
        <x:v>LAABUNDANCIA_LOTE</x:v>
      </x:c>
      <x:c r="B56" s="100" t="n">
        <x:v>1</x:v>
      </x:c>
      <x:c r="C56" s="100" t="str">
        <x:f>IF(DATOS_LOTE!$B$4="","",DATOS_LOTE!$B$4)</x:f>
      </x:c>
      <x:c r="D56" s="102" t="str">
        <x:f>IF(DATOS_LOTE!$B$5="","",DATOS_LOTE!$B$5)</x:f>
      </x:c>
      <x:c r="E56" s="100" t="str">
        <x:v>DERECHA</x:v>
      </x:c>
      <x:c r="F56" s="100" t="n">
        <x:v>10</x:v>
      </x:c>
      <x:c r="G56" s="100" t="str">
        <x:v>Maracuyá</x:v>
      </x:c>
      <x:c r="H56" s="100" t="str">
        <x:v>maracuya</x:v>
      </x:c>
      <x:c r="I56" s="100" t="str">
        <x:f>IF('FACTURA_LIMPIA'!F10="","",'FACTURA_LIMPIA'!F10)</x:f>
      </x:c>
      <x:c r="J56" s="100" t="str">
        <x:f>IF('FACTURA_LIMPIA'!G10="","",'FACTURA_LIMPIA'!G10)</x:f>
      </x:c>
      <x:c r="K56" s="104" t="str">
        <x:f>IF('FACTURA_LIMPIA'!I10="","",'FACTURA_LIMPIA'!I10)</x:f>
      </x:c>
      <x:c r="L56" s="100" t="str"/>
    </x:row>
    <x:row r="57">
      <x:c r="A57" s="100" t="str">
        <x:v>LAABUNDANCIA_LOTE</x:v>
      </x:c>
      <x:c r="B57" s="100" t="n">
        <x:v>1</x:v>
      </x:c>
      <x:c r="C57" s="100" t="str">
        <x:f>IF(DATOS_LOTE!$B$4="","",DATOS_LOTE!$B$4)</x:f>
      </x:c>
      <x:c r="D57" s="102" t="str">
        <x:f>IF(DATOS_LOTE!$B$5="","",DATOS_LOTE!$B$5)</x:f>
      </x:c>
      <x:c r="E57" s="100" t="str">
        <x:v>DERECHA</x:v>
      </x:c>
      <x:c r="F57" s="100" t="n">
        <x:v>11</x:v>
      </x:c>
      <x:c r="G57" s="100" t="str">
        <x:v>Melón</x:v>
      </x:c>
      <x:c r="H57" s="100" t="str">
        <x:v>melon</x:v>
      </x:c>
      <x:c r="I57" s="100" t="str">
        <x:f>IF('FACTURA_LIMPIA'!F11="","",'FACTURA_LIMPIA'!F11)</x:f>
      </x:c>
      <x:c r="J57" s="100" t="str">
        <x:f>IF('FACTURA_LIMPIA'!G11="","",'FACTURA_LIMPIA'!G11)</x:f>
      </x:c>
      <x:c r="K57" s="104" t="str">
        <x:f>IF('FACTURA_LIMPIA'!I11="","",'FACTURA_LIMPIA'!I11)</x:f>
      </x:c>
      <x:c r="L57" s="100" t="str"/>
    </x:row>
    <x:row r="58">
      <x:c r="A58" s="100" t="str">
        <x:v>LAABUNDANCIA_LOTE</x:v>
      </x:c>
      <x:c r="B58" s="100" t="n">
        <x:v>1</x:v>
      </x:c>
      <x:c r="C58" s="100" t="str">
        <x:f>IF(DATOS_LOTE!$B$4="","",DATOS_LOTE!$B$4)</x:f>
      </x:c>
      <x:c r="D58" s="102" t="str">
        <x:f>IF(DATOS_LOTE!$B$5="","",DATOS_LOTE!$B$5)</x:f>
      </x:c>
      <x:c r="E58" s="100" t="str">
        <x:v>DERECHA</x:v>
      </x:c>
      <x:c r="F58" s="100" t="n">
        <x:v>12</x:v>
      </x:c>
      <x:c r="G58" s="100" t="str">
        <x:v>Mazorca Bandeja</x:v>
      </x:c>
      <x:c r="H58" s="100" t="str">
        <x:v>mazorca_bandeja</x:v>
      </x:c>
      <x:c r="I58" s="100" t="str">
        <x:f>IF('FACTURA_LIMPIA'!F12="","",'FACTURA_LIMPIA'!F12)</x:f>
      </x:c>
      <x:c r="J58" s="100" t="str">
        <x:f>IF('FACTURA_LIMPIA'!G12="","",'FACTURA_LIMPIA'!G12)</x:f>
      </x:c>
      <x:c r="K58" s="104" t="str">
        <x:f>IF('FACTURA_LIMPIA'!I12="","",'FACTURA_LIMPIA'!I12)</x:f>
      </x:c>
      <x:c r="L58" s="100" t="str"/>
    </x:row>
    <x:row r="59">
      <x:c r="A59" s="100" t="str">
        <x:v>LAABUNDANCIA_LOTE</x:v>
      </x:c>
      <x:c r="B59" s="100" t="n">
        <x:v>1</x:v>
      </x:c>
      <x:c r="C59" s="100" t="str">
        <x:f>IF(DATOS_LOTE!$B$4="","",DATOS_LOTE!$B$4)</x:f>
      </x:c>
      <x:c r="D59" s="102" t="str">
        <x:f>IF(DATOS_LOTE!$B$5="","",DATOS_LOTE!$B$5)</x:f>
      </x:c>
      <x:c r="E59" s="100" t="str">
        <x:v>DERECHA</x:v>
      </x:c>
      <x:c r="F59" s="100" t="n">
        <x:v>13</x:v>
      </x:c>
      <x:c r="G59" s="100" t="str">
        <x:v>Mora</x:v>
      </x:c>
      <x:c r="H59" s="100" t="str">
        <x:v>mora_fresca</x:v>
      </x:c>
      <x:c r="I59" s="100" t="str">
        <x:f>IF('FACTURA_LIMPIA'!F13="","",'FACTURA_LIMPIA'!F13)</x:f>
      </x:c>
      <x:c r="J59" s="100" t="str">
        <x:f>IF('FACTURA_LIMPIA'!G13="","",'FACTURA_LIMPIA'!G13)</x:f>
      </x:c>
      <x:c r="K59" s="104" t="str">
        <x:f>IF('FACTURA_LIMPIA'!I13="","",'FACTURA_LIMPIA'!I13)</x:f>
      </x:c>
      <x:c r="L59" s="100" t="str"/>
    </x:row>
    <x:row r="60">
      <x:c r="A60" s="100" t="str">
        <x:v>LAABUNDANCIA_LOTE</x:v>
      </x:c>
      <x:c r="B60" s="100" t="n">
        <x:v>1</x:v>
      </x:c>
      <x:c r="C60" s="100" t="str">
        <x:f>IF(DATOS_LOTE!$B$4="","",DATOS_LOTE!$B$4)</x:f>
      </x:c>
      <x:c r="D60" s="102" t="str">
        <x:f>IF(DATOS_LOTE!$B$5="","",DATOS_LOTE!$B$5)</x:f>
      </x:c>
      <x:c r="E60" s="100" t="str">
        <x:v>DERECHA</x:v>
      </x:c>
      <x:c r="F60" s="100" t="n">
        <x:v>14</x:v>
      </x:c>
      <x:c r="G60" s="100" t="str">
        <x:v>Naranja</x:v>
      </x:c>
      <x:c r="H60" s="100" t="str">
        <x:v>naranja</x:v>
      </x:c>
      <x:c r="I60" s="100" t="str">
        <x:f>IF('FACTURA_LIMPIA'!F14="","",'FACTURA_LIMPIA'!F14)</x:f>
      </x:c>
      <x:c r="J60" s="100" t="str">
        <x:f>IF('FACTURA_LIMPIA'!G14="","",'FACTURA_LIMPIA'!G14)</x:f>
      </x:c>
      <x:c r="K60" s="104" t="str">
        <x:f>IF('FACTURA_LIMPIA'!I14="","",'FACTURA_LIMPIA'!I14)</x:f>
      </x:c>
      <x:c r="L60" s="100" t="str"/>
    </x:row>
    <x:row r="61">
      <x:c r="A61" s="100" t="str">
        <x:v>LAABUNDANCIA_LOTE</x:v>
      </x:c>
      <x:c r="B61" s="100" t="n">
        <x:v>1</x:v>
      </x:c>
      <x:c r="C61" s="100" t="str">
        <x:f>IF(DATOS_LOTE!$B$4="","",DATOS_LOTE!$B$4)</x:f>
      </x:c>
      <x:c r="D61" s="102" t="str">
        <x:f>IF(DATOS_LOTE!$B$5="","",DATOS_LOTE!$B$5)</x:f>
      </x:c>
      <x:c r="E61" s="100" t="str">
        <x:v>DERECHA</x:v>
      </x:c>
      <x:c r="F61" s="100" t="n">
        <x:v>15</x:v>
      </x:c>
      <x:c r="G61" s="100" t="str">
        <x:v>Panela Pastilla</x:v>
      </x:c>
      <x:c r="H61" s="100" t="str">
        <x:v>panela_pastilla</x:v>
      </x:c>
      <x:c r="I61" s="100" t="str">
        <x:f>IF('FACTURA_LIMPIA'!F15="","",'FACTURA_LIMPIA'!F15)</x:f>
      </x:c>
      <x:c r="J61" s="100" t="str">
        <x:f>IF('FACTURA_LIMPIA'!G15="","",'FACTURA_LIMPIA'!G15)</x:f>
      </x:c>
      <x:c r="K61" s="104" t="str">
        <x:f>IF('FACTURA_LIMPIA'!I15="","",'FACTURA_LIMPIA'!I15)</x:f>
      </x:c>
      <x:c r="L61" s="100" t="str"/>
    </x:row>
    <x:row r="62">
      <x:c r="A62" s="100" t="str">
        <x:v>LAABUNDANCIA_LOTE</x:v>
      </x:c>
      <x:c r="B62" s="100" t="n">
        <x:v>1</x:v>
      </x:c>
      <x:c r="C62" s="100" t="str">
        <x:f>IF(DATOS_LOTE!$B$4="","",DATOS_LOTE!$B$4)</x:f>
      </x:c>
      <x:c r="D62" s="102" t="str">
        <x:f>IF(DATOS_LOTE!$B$5="","",DATOS_LOTE!$B$5)</x:f>
      </x:c>
      <x:c r="E62" s="100" t="str">
        <x:v>DERECHA</x:v>
      </x:c>
      <x:c r="F62" s="100" t="n">
        <x:v>16</x:v>
      </x:c>
      <x:c r="G62" s="100" t="str">
        <x:v>Panelón</x:v>
      </x:c>
      <x:c r="H62" s="100" t="str">
        <x:v>panelon</x:v>
      </x:c>
      <x:c r="I62" s="100" t="str">
        <x:f>IF('FACTURA_LIMPIA'!F16="","",'FACTURA_LIMPIA'!F16)</x:f>
      </x:c>
      <x:c r="J62" s="100" t="str">
        <x:f>IF('FACTURA_LIMPIA'!G16="","",'FACTURA_LIMPIA'!G16)</x:f>
      </x:c>
      <x:c r="K62" s="104" t="str">
        <x:f>IF('FACTURA_LIMPIA'!I16="","",'FACTURA_LIMPIA'!I16)</x:f>
      </x:c>
      <x:c r="L62" s="100" t="str"/>
    </x:row>
    <x:row r="63">
      <x:c r="A63" s="100" t="str">
        <x:v>LAABUNDANCIA_LOTE</x:v>
      </x:c>
      <x:c r="B63" s="100" t="n">
        <x:v>1</x:v>
      </x:c>
      <x:c r="C63" s="100" t="str">
        <x:f>IF(DATOS_LOTE!$B$4="","",DATOS_LOTE!$B$4)</x:f>
      </x:c>
      <x:c r="D63" s="102" t="str">
        <x:f>IF(DATOS_LOTE!$B$5="","",DATOS_LOTE!$B$5)</x:f>
      </x:c>
      <x:c r="E63" s="100" t="str">
        <x:v>DERECHA</x:v>
      </x:c>
      <x:c r="F63" s="100" t="n">
        <x:v>17</x:v>
      </x:c>
      <x:c r="G63" s="100" t="str">
        <x:v>Papa Criolla</x:v>
      </x:c>
      <x:c r="H63" s="100" t="str">
        <x:v>papa_criolla</x:v>
      </x:c>
      <x:c r="I63" s="100" t="str">
        <x:f>IF('FACTURA_LIMPIA'!F17="","",'FACTURA_LIMPIA'!F17)</x:f>
      </x:c>
      <x:c r="J63" s="100" t="str">
        <x:f>IF('FACTURA_LIMPIA'!G17="","",'FACTURA_LIMPIA'!G17)</x:f>
      </x:c>
      <x:c r="K63" s="104" t="str">
        <x:f>IF('FACTURA_LIMPIA'!I17="","",'FACTURA_LIMPIA'!I17)</x:f>
      </x:c>
      <x:c r="L63" s="100" t="str"/>
    </x:row>
    <x:row r="64">
      <x:c r="A64" s="100" t="str">
        <x:v>LAABUNDANCIA_LOTE</x:v>
      </x:c>
      <x:c r="B64" s="100" t="n">
        <x:v>1</x:v>
      </x:c>
      <x:c r="C64" s="100" t="str">
        <x:f>IF(DATOS_LOTE!$B$4="","",DATOS_LOTE!$B$4)</x:f>
      </x:c>
      <x:c r="D64" s="102" t="str">
        <x:f>IF(DATOS_LOTE!$B$5="","",DATOS_LOTE!$B$5)</x:f>
      </x:c>
      <x:c r="E64" s="100" t="str">
        <x:v>DERECHA</x:v>
      </x:c>
      <x:c r="F64" s="100" t="n">
        <x:v>18</x:v>
      </x:c>
      <x:c r="G64" s="100" t="str">
        <x:v>Papa Gruesa</x:v>
      </x:c>
      <x:c r="H64" s="100" t="str">
        <x:v>papa_pastusa</x:v>
      </x:c>
      <x:c r="I64" s="100" t="str">
        <x:f>IF('FACTURA_LIMPIA'!F18="","",'FACTURA_LIMPIA'!F18)</x:f>
      </x:c>
      <x:c r="J64" s="100" t="str">
        <x:f>IF('FACTURA_LIMPIA'!G18="","",'FACTURA_LIMPIA'!G18)</x:f>
      </x:c>
      <x:c r="K64" s="104" t="str">
        <x:f>IF('FACTURA_LIMPIA'!I18="","",'FACTURA_LIMPIA'!I18)</x:f>
      </x:c>
      <x:c r="L64" s="100" t="str"/>
    </x:row>
    <x:row r="65">
      <x:c r="A65" s="100" t="str">
        <x:v>LAABUNDANCIA_LOTE</x:v>
      </x:c>
      <x:c r="B65" s="100" t="n">
        <x:v>1</x:v>
      </x:c>
      <x:c r="C65" s="100" t="str">
        <x:f>IF(DATOS_LOTE!$B$4="","",DATOS_LOTE!$B$4)</x:f>
      </x:c>
      <x:c r="D65" s="102" t="str">
        <x:f>IF(DATOS_LOTE!$B$5="","",DATOS_LOTE!$B$5)</x:f>
      </x:c>
      <x:c r="E65" s="100" t="str">
        <x:v>DERECHA</x:v>
      </x:c>
      <x:c r="F65" s="100" t="n">
        <x:v>19</x:v>
      </x:c>
      <x:c r="G65" s="100" t="str">
        <x:v>Papa Cero</x:v>
      </x:c>
      <x:c r="H65" s="100" t="str">
        <x:v>papa_cero</x:v>
      </x:c>
      <x:c r="I65" s="100" t="str">
        <x:f>IF('FACTURA_LIMPIA'!F19="","",'FACTURA_LIMPIA'!F19)</x:f>
      </x:c>
      <x:c r="J65" s="100" t="str">
        <x:f>IF('FACTURA_LIMPIA'!G19="","",'FACTURA_LIMPIA'!G19)</x:f>
      </x:c>
      <x:c r="K65" s="104" t="str">
        <x:f>IF('FACTURA_LIMPIA'!I19="","",'FACTURA_LIMPIA'!I19)</x:f>
      </x:c>
      <x:c r="L65" s="100" t="str"/>
    </x:row>
    <x:row r="66">
      <x:c r="A66" s="100" t="str">
        <x:v>LAABUNDANCIA_LOTE</x:v>
      </x:c>
      <x:c r="B66" s="100" t="n">
        <x:v>1</x:v>
      </x:c>
      <x:c r="C66" s="100" t="str">
        <x:f>IF(DATOS_LOTE!$B$4="","",DATOS_LOTE!$B$4)</x:f>
      </x:c>
      <x:c r="D66" s="102" t="str">
        <x:f>IF(DATOS_LOTE!$B$5="","",DATOS_LOTE!$B$5)</x:f>
      </x:c>
      <x:c r="E66" s="100" t="str">
        <x:v>DERECHA</x:v>
      </x:c>
      <x:c r="F66" s="100" t="n">
        <x:v>20</x:v>
      </x:c>
      <x:c r="G66" s="100" t="str">
        <x:v>Papa Pareja</x:v>
      </x:c>
      <x:c r="H66" s="100" t="str">
        <x:v>papa_pareja</x:v>
      </x:c>
      <x:c r="I66" s="100" t="str">
        <x:f>IF('FACTURA_LIMPIA'!F20="","",'FACTURA_LIMPIA'!F20)</x:f>
      </x:c>
      <x:c r="J66" s="100" t="str">
        <x:f>IF('FACTURA_LIMPIA'!G20="","",'FACTURA_LIMPIA'!G20)</x:f>
      </x:c>
      <x:c r="K66" s="104" t="str">
        <x:f>IF('FACTURA_LIMPIA'!I20="","",'FACTURA_LIMPIA'!I20)</x:f>
      </x:c>
      <x:c r="L66" s="100" t="str"/>
    </x:row>
    <x:row r="67">
      <x:c r="A67" s="100" t="str">
        <x:v>LAABUNDANCIA_LOTE</x:v>
      </x:c>
      <x:c r="B67" s="100" t="n">
        <x:v>1</x:v>
      </x:c>
      <x:c r="C67" s="100" t="str">
        <x:f>IF(DATOS_LOTE!$B$4="","",DATOS_LOTE!$B$4)</x:f>
      </x:c>
      <x:c r="D67" s="102" t="str">
        <x:f>IF(DATOS_LOTE!$B$5="","",DATOS_LOTE!$B$5)</x:f>
      </x:c>
      <x:c r="E67" s="100" t="str">
        <x:v>DERECHA</x:v>
      </x:c>
      <x:c r="F67" s="100" t="n">
        <x:v>21</x:v>
      </x:c>
      <x:c r="G67" s="100" t="str">
        <x:v>Papaya</x:v>
      </x:c>
      <x:c r="H67" s="100" t="str">
        <x:v>papaya</x:v>
      </x:c>
      <x:c r="I67" s="100" t="str">
        <x:f>IF('FACTURA_LIMPIA'!F21="","",'FACTURA_LIMPIA'!F21)</x:f>
      </x:c>
      <x:c r="J67" s="100" t="str">
        <x:f>IF('FACTURA_LIMPIA'!G21="","",'FACTURA_LIMPIA'!G21)</x:f>
      </x:c>
      <x:c r="K67" s="104" t="str">
        <x:f>IF('FACTURA_LIMPIA'!I21="","",'FACTURA_LIMPIA'!I21)</x:f>
      </x:c>
      <x:c r="L67" s="100" t="str"/>
    </x:row>
    <x:row r="68">
      <x:c r="A68" s="100" t="str">
        <x:v>LAABUNDANCIA_LOTE</x:v>
      </x:c>
      <x:c r="B68" s="100" t="n">
        <x:v>1</x:v>
      </x:c>
      <x:c r="C68" s="100" t="str">
        <x:f>IF(DATOS_LOTE!$B$4="","",DATOS_LOTE!$B$4)</x:f>
      </x:c>
      <x:c r="D68" s="102" t="str">
        <x:f>IF(DATOS_LOTE!$B$5="","",DATOS_LOTE!$B$5)</x:f>
      </x:c>
      <x:c r="E68" s="100" t="str">
        <x:v>DERECHA</x:v>
      </x:c>
      <x:c r="F68" s="100" t="n">
        <x:v>22</x:v>
      </x:c>
      <x:c r="G68" s="100" t="str">
        <x:v>Patilla</x:v>
      </x:c>
      <x:c r="H68" s="100" t="str">
        <x:v>patilla</x:v>
      </x:c>
      <x:c r="I68" s="100" t="str">
        <x:f>IF('FACTURA_LIMPIA'!F22="","",'FACTURA_LIMPIA'!F22)</x:f>
      </x:c>
      <x:c r="J68" s="100" t="str">
        <x:f>IF('FACTURA_LIMPIA'!G22="","",'FACTURA_LIMPIA'!G22)</x:f>
      </x:c>
      <x:c r="K68" s="104" t="str">
        <x:f>IF('FACTURA_LIMPIA'!I22="","",'FACTURA_LIMPIA'!I22)</x:f>
      </x:c>
      <x:c r="L68" s="100" t="str"/>
    </x:row>
    <x:row r="69">
      <x:c r="A69" s="100" t="str">
        <x:v>LAABUNDANCIA_LOTE</x:v>
      </x:c>
      <x:c r="B69" s="100" t="n">
        <x:v>1</x:v>
      </x:c>
      <x:c r="C69" s="100" t="str">
        <x:f>IF(DATOS_LOTE!$B$4="","",DATOS_LOTE!$B$4)</x:f>
      </x:c>
      <x:c r="D69" s="102" t="str">
        <x:f>IF(DATOS_LOTE!$B$5="","",DATOS_LOTE!$B$5)</x:f>
      </x:c>
      <x:c r="E69" s="100" t="str">
        <x:v>DERECHA</x:v>
      </x:c>
      <x:c r="F69" s="100" t="n">
        <x:v>23</x:v>
      </x:c>
      <x:c r="G69" s="100" t="str">
        <x:v>Pepino de Guiso</x:v>
      </x:c>
      <x:c r="H69" s="100" t="str">
        <x:v>pepino_de_guiso</x:v>
      </x:c>
      <x:c r="I69" s="100" t="str">
        <x:f>IF('FACTURA_LIMPIA'!F23="","",'FACTURA_LIMPIA'!F23)</x:f>
      </x:c>
      <x:c r="J69" s="100" t="str">
        <x:f>IF('FACTURA_LIMPIA'!G23="","",'FACTURA_LIMPIA'!G23)</x:f>
      </x:c>
      <x:c r="K69" s="104" t="str">
        <x:f>IF('FACTURA_LIMPIA'!I23="","",'FACTURA_LIMPIA'!I23)</x:f>
      </x:c>
      <x:c r="L69" s="100" t="str"/>
    </x:row>
    <x:row r="70">
      <x:c r="A70" s="100" t="str">
        <x:v>LAABUNDANCIA_LOTE</x:v>
      </x:c>
      <x:c r="B70" s="100" t="n">
        <x:v>1</x:v>
      </x:c>
      <x:c r="C70" s="100" t="str">
        <x:f>IF(DATOS_LOTE!$B$4="","",DATOS_LOTE!$B$4)</x:f>
      </x:c>
      <x:c r="D70" s="102" t="str">
        <x:f>IF(DATOS_LOTE!$B$5="","",DATOS_LOTE!$B$5)</x:f>
      </x:c>
      <x:c r="E70" s="100" t="str">
        <x:v>DERECHA</x:v>
      </x:c>
      <x:c r="F70" s="100" t="n">
        <x:v>24</x:v>
      </x:c>
      <x:c r="G70" s="100" t="str">
        <x:v>Pepino Cohombro</x:v>
      </x:c>
      <x:c r="H70" s="100" t="str">
        <x:v>pepino_cohombro</x:v>
      </x:c>
      <x:c r="I70" s="100" t="str">
        <x:f>IF('FACTURA_LIMPIA'!F24="","",'FACTURA_LIMPIA'!F24)</x:f>
      </x:c>
      <x:c r="J70" s="100" t="str">
        <x:f>IF('FACTURA_LIMPIA'!G24="","",'FACTURA_LIMPIA'!G24)</x:f>
      </x:c>
      <x:c r="K70" s="104" t="str">
        <x:f>IF('FACTURA_LIMPIA'!I24="","",'FACTURA_LIMPIA'!I24)</x:f>
      </x:c>
      <x:c r="L70" s="100" t="str"/>
    </x:row>
    <x:row r="71">
      <x:c r="A71" s="100" t="str">
        <x:v>LAABUNDANCIA_LOTE</x:v>
      </x:c>
      <x:c r="B71" s="100" t="n">
        <x:v>1</x:v>
      </x:c>
      <x:c r="C71" s="100" t="str">
        <x:f>IF(DATOS_LOTE!$B$4="","",DATOS_LOTE!$B$4)</x:f>
      </x:c>
      <x:c r="D71" s="102" t="str">
        <x:f>IF(DATOS_LOTE!$B$5="","",DATOS_LOTE!$B$5)</x:f>
      </x:c>
      <x:c r="E71" s="100" t="str">
        <x:v>DERECHA</x:v>
      </x:c>
      <x:c r="F71" s="100" t="n">
        <x:v>25</x:v>
      </x:c>
      <x:c r="G71" s="100" t="str">
        <x:v>Pera</x:v>
      </x:c>
      <x:c r="H71" s="100" t="str">
        <x:v>pera</x:v>
      </x:c>
      <x:c r="I71" s="100" t="str">
        <x:f>IF('FACTURA_LIMPIA'!F25="","",'FACTURA_LIMPIA'!F25)</x:f>
      </x:c>
      <x:c r="J71" s="100" t="str">
        <x:f>IF('FACTURA_LIMPIA'!G25="","",'FACTURA_LIMPIA'!G25)</x:f>
      </x:c>
      <x:c r="K71" s="104" t="str">
        <x:f>IF('FACTURA_LIMPIA'!I25="","",'FACTURA_LIMPIA'!I25)</x:f>
      </x:c>
      <x:c r="L71" s="100" t="str"/>
    </x:row>
    <x:row r="72">
      <x:c r="A72" s="100" t="str">
        <x:v>LAABUNDANCIA_LOTE</x:v>
      </x:c>
      <x:c r="B72" s="100" t="n">
        <x:v>1</x:v>
      </x:c>
      <x:c r="C72" s="100" t="str">
        <x:f>IF(DATOS_LOTE!$B$4="","",DATOS_LOTE!$B$4)</x:f>
      </x:c>
      <x:c r="D72" s="102" t="str">
        <x:f>IF(DATOS_LOTE!$B$5="","",DATOS_LOTE!$B$5)</x:f>
      </x:c>
      <x:c r="E72" s="100" t="str">
        <x:v>DERECHA</x:v>
      </x:c>
      <x:c r="F72" s="100" t="n">
        <x:v>26</x:v>
      </x:c>
      <x:c r="G72" s="100" t="str">
        <x:v>Perejil</x:v>
      </x:c>
      <x:c r="H72" s="100" t="str">
        <x:v>perejil</x:v>
      </x:c>
      <x:c r="I72" s="100" t="str">
        <x:f>IF('FACTURA_LIMPIA'!F26="","",'FACTURA_LIMPIA'!F26)</x:f>
      </x:c>
      <x:c r="J72" s="100" t="str">
        <x:f>IF('FACTURA_LIMPIA'!G26="","",'FACTURA_LIMPIA'!G26)</x:f>
      </x:c>
      <x:c r="K72" s="104" t="str">
        <x:f>IF('FACTURA_LIMPIA'!I26="","",'FACTURA_LIMPIA'!I26)</x:f>
      </x:c>
      <x:c r="L72" s="100" t="str"/>
    </x:row>
    <x:row r="73">
      <x:c r="A73" s="100" t="str">
        <x:v>LAABUNDANCIA_LOTE</x:v>
      </x:c>
      <x:c r="B73" s="100" t="n">
        <x:v>1</x:v>
      </x:c>
      <x:c r="C73" s="100" t="str">
        <x:f>IF(DATOS_LOTE!$B$4="","",DATOS_LOTE!$B$4)</x:f>
      </x:c>
      <x:c r="D73" s="102" t="str">
        <x:f>IF(DATOS_LOTE!$B$5="","",DATOS_LOTE!$B$5)</x:f>
      </x:c>
      <x:c r="E73" s="100" t="str">
        <x:v>DERECHA</x:v>
      </x:c>
      <x:c r="F73" s="100" t="n">
        <x:v>27</x:v>
      </x:c>
      <x:c r="G73" s="100" t="str">
        <x:v>Pimentón</x:v>
      </x:c>
      <x:c r="H73" s="100" t="str">
        <x:v>pimenton</x:v>
      </x:c>
      <x:c r="I73" s="100" t="str">
        <x:f>IF('FACTURA_LIMPIA'!F27="","",'FACTURA_LIMPIA'!F27)</x:f>
      </x:c>
      <x:c r="J73" s="100" t="str">
        <x:f>IF('FACTURA_LIMPIA'!G27="","",'FACTURA_LIMPIA'!G27)</x:f>
      </x:c>
      <x:c r="K73" s="104" t="str">
        <x:f>IF('FACTURA_LIMPIA'!I27="","",'FACTURA_LIMPIA'!I27)</x:f>
      </x:c>
      <x:c r="L73" s="100" t="str"/>
    </x:row>
    <x:row r="74">
      <x:c r="A74" s="100" t="str">
        <x:v>LAABUNDANCIA_LOTE</x:v>
      </x:c>
      <x:c r="B74" s="100" t="n">
        <x:v>1</x:v>
      </x:c>
      <x:c r="C74" s="100" t="str">
        <x:f>IF(DATOS_LOTE!$B$4="","",DATOS_LOTE!$B$4)</x:f>
      </x:c>
      <x:c r="D74" s="102" t="str">
        <x:f>IF(DATOS_LOTE!$B$5="","",DATOS_LOTE!$B$5)</x:f>
      </x:c>
      <x:c r="E74" s="100" t="str">
        <x:v>DERECHA</x:v>
      </x:c>
      <x:c r="F74" s="100" t="n">
        <x:v>28</x:v>
      </x:c>
      <x:c r="G74" s="100" t="str">
        <x:v>Piña</x:v>
      </x:c>
      <x:c r="H74" s="100" t="str">
        <x:v>pina</x:v>
      </x:c>
      <x:c r="I74" s="100" t="str">
        <x:f>IF('FACTURA_LIMPIA'!F28="","",'FACTURA_LIMPIA'!F28)</x:f>
      </x:c>
      <x:c r="J74" s="100" t="str">
        <x:f>IF('FACTURA_LIMPIA'!G28="","",'FACTURA_LIMPIA'!G28)</x:f>
      </x:c>
      <x:c r="K74" s="104" t="str">
        <x:f>IF('FACTURA_LIMPIA'!I28="","",'FACTURA_LIMPIA'!I28)</x:f>
      </x:c>
      <x:c r="L74" s="100" t="str"/>
    </x:row>
    <x:row r="75">
      <x:c r="A75" s="100" t="str">
        <x:v>LAABUNDANCIA_LOTE</x:v>
      </x:c>
      <x:c r="B75" s="100" t="n">
        <x:v>1</x:v>
      </x:c>
      <x:c r="C75" s="100" t="str">
        <x:f>IF(DATOS_LOTE!$B$4="","",DATOS_LOTE!$B$4)</x:f>
      </x:c>
      <x:c r="D75" s="102" t="str">
        <x:f>IF(DATOS_LOTE!$B$5="","",DATOS_LOTE!$B$5)</x:f>
      </x:c>
      <x:c r="E75" s="100" t="str">
        <x:v>DERECHA</x:v>
      </x:c>
      <x:c r="F75" s="100" t="n">
        <x:v>29</x:v>
      </x:c>
      <x:c r="G75" s="100" t="str">
        <x:v>Plátano</x:v>
      </x:c>
      <x:c r="H75" s="100" t="str">
        <x:v>platano_verde</x:v>
      </x:c>
      <x:c r="I75" s="100" t="str">
        <x:f>IF('FACTURA_LIMPIA'!F29="","",'FACTURA_LIMPIA'!F29)</x:f>
      </x:c>
      <x:c r="J75" s="100" t="str">
        <x:f>IF('FACTURA_LIMPIA'!G29="","",'FACTURA_LIMPIA'!G29)</x:f>
      </x:c>
      <x:c r="K75" s="104" t="str">
        <x:f>IF('FACTURA_LIMPIA'!I29="","",'FACTURA_LIMPIA'!I29)</x:f>
      </x:c>
      <x:c r="L75" s="100" t="str"/>
    </x:row>
    <x:row r="76">
      <x:c r="A76" s="100" t="str">
        <x:v>LAABUNDANCIA_LOTE</x:v>
      </x:c>
      <x:c r="B76" s="100" t="n">
        <x:v>1</x:v>
      </x:c>
      <x:c r="C76" s="100" t="str">
        <x:f>IF(DATOS_LOTE!$B$4="","",DATOS_LOTE!$B$4)</x:f>
      </x:c>
      <x:c r="D76" s="102" t="str">
        <x:f>IF(DATOS_LOTE!$B$5="","",DATOS_LOTE!$B$5)</x:f>
      </x:c>
      <x:c r="E76" s="100" t="str">
        <x:v>DERECHA</x:v>
      </x:c>
      <x:c r="F76" s="100" t="n">
        <x:v>30</x:v>
      </x:c>
      <x:c r="G76" s="100" t="str">
        <x:v>Rábanos</x:v>
      </x:c>
      <x:c r="H76" s="100" t="str">
        <x:v>rabanos</x:v>
      </x:c>
      <x:c r="I76" s="100" t="str">
        <x:f>IF('FACTURA_LIMPIA'!F30="","",'FACTURA_LIMPIA'!F30)</x:f>
      </x:c>
      <x:c r="J76" s="100" t="str">
        <x:f>IF('FACTURA_LIMPIA'!G30="","",'FACTURA_LIMPIA'!G30)</x:f>
      </x:c>
      <x:c r="K76" s="104" t="str">
        <x:f>IF('FACTURA_LIMPIA'!I30="","",'FACTURA_LIMPIA'!I30)</x:f>
      </x:c>
      <x:c r="L76" s="100" t="str"/>
    </x:row>
    <x:row r="77">
      <x:c r="A77" s="100" t="str">
        <x:v>LAABUNDANCIA_LOTE</x:v>
      </x:c>
      <x:c r="B77" s="100" t="n">
        <x:v>1</x:v>
      </x:c>
      <x:c r="C77" s="100" t="str">
        <x:f>IF(DATOS_LOTE!$B$4="","",DATOS_LOTE!$B$4)</x:f>
      </x:c>
      <x:c r="D77" s="102" t="str">
        <x:f>IF(DATOS_LOTE!$B$5="","",DATOS_LOTE!$B$5)</x:f>
      </x:c>
      <x:c r="E77" s="100" t="str">
        <x:v>DERECHA</x:v>
      </x:c>
      <x:c r="F77" s="100" t="n">
        <x:v>31</x:v>
      </x:c>
      <x:c r="G77" s="100" t="str">
        <x:v>Remolacha</x:v>
      </x:c>
      <x:c r="H77" s="100" t="str">
        <x:v>remolacha</x:v>
      </x:c>
      <x:c r="I77" s="100" t="str">
        <x:f>IF('FACTURA_LIMPIA'!F31="","",'FACTURA_LIMPIA'!F31)</x:f>
      </x:c>
      <x:c r="J77" s="100" t="str">
        <x:f>IF('FACTURA_LIMPIA'!G31="","",'FACTURA_LIMPIA'!G31)</x:f>
      </x:c>
      <x:c r="K77" s="104" t="str">
        <x:f>IF('FACTURA_LIMPIA'!I31="","",'FACTURA_LIMPIA'!I31)</x:f>
      </x:c>
      <x:c r="L77" s="100" t="str"/>
    </x:row>
    <x:row r="78">
      <x:c r="A78" s="100" t="str">
        <x:v>LAABUNDANCIA_LOTE</x:v>
      </x:c>
      <x:c r="B78" s="100" t="n">
        <x:v>1</x:v>
      </x:c>
      <x:c r="C78" s="100" t="str">
        <x:f>IF(DATOS_LOTE!$B$4="","",DATOS_LOTE!$B$4)</x:f>
      </x:c>
      <x:c r="D78" s="102" t="str">
        <x:f>IF(DATOS_LOTE!$B$5="","",DATOS_LOTE!$B$5)</x:f>
      </x:c>
      <x:c r="E78" s="100" t="str">
        <x:v>DERECHA</x:v>
      </x:c>
      <x:c r="F78" s="100" t="n">
        <x:v>32</x:v>
      </x:c>
      <x:c r="G78" s="100" t="str">
        <x:v>Repollo</x:v>
      </x:c>
      <x:c r="H78" s="100" t="str">
        <x:v>repollo</x:v>
      </x:c>
      <x:c r="I78" s="100" t="str">
        <x:f>IF('FACTURA_LIMPIA'!F32="","",'FACTURA_LIMPIA'!F32)</x:f>
      </x:c>
      <x:c r="J78" s="100" t="str">
        <x:f>IF('FACTURA_LIMPIA'!G32="","",'FACTURA_LIMPIA'!G32)</x:f>
      </x:c>
      <x:c r="K78" s="104" t="str">
        <x:f>IF('FACTURA_LIMPIA'!I32="","",'FACTURA_LIMPIA'!I32)</x:f>
      </x:c>
      <x:c r="L78" s="100" t="str"/>
    </x:row>
    <x:row r="79">
      <x:c r="A79" s="100" t="str">
        <x:v>LAABUNDANCIA_LOTE</x:v>
      </x:c>
      <x:c r="B79" s="100" t="n">
        <x:v>1</x:v>
      </x:c>
      <x:c r="C79" s="100" t="str">
        <x:f>IF(DATOS_LOTE!$B$4="","",DATOS_LOTE!$B$4)</x:f>
      </x:c>
      <x:c r="D79" s="102" t="str">
        <x:f>IF(DATOS_LOTE!$B$5="","",DATOS_LOTE!$B$5)</x:f>
      </x:c>
      <x:c r="E79" s="100" t="str">
        <x:v>DERECHA</x:v>
      </x:c>
      <x:c r="F79" s="100" t="n">
        <x:v>33</x:v>
      </x:c>
      <x:c r="G79" s="100" t="str">
        <x:v>Tomate Chonto Grueso</x:v>
      </x:c>
      <x:c r="H79" s="100" t="str">
        <x:v>tomate_chonto</x:v>
      </x:c>
      <x:c r="I79" s="100" t="str">
        <x:f>IF('FACTURA_LIMPIA'!F33="","",'FACTURA_LIMPIA'!F33)</x:f>
      </x:c>
      <x:c r="J79" s="100" t="str">
        <x:f>IF('FACTURA_LIMPIA'!G33="","",'FACTURA_LIMPIA'!G33)</x:f>
      </x:c>
      <x:c r="K79" s="104" t="str">
        <x:f>IF('FACTURA_LIMPIA'!I33="","",'FACTURA_LIMPIA'!I33)</x:f>
      </x:c>
      <x:c r="L79" s="100" t="str"/>
    </x:row>
    <x:row r="80">
      <x:c r="A80" s="100" t="str">
        <x:v>LAABUNDANCIA_LOTE</x:v>
      </x:c>
      <x:c r="B80" s="100" t="n">
        <x:v>1</x:v>
      </x:c>
      <x:c r="C80" s="100" t="str">
        <x:f>IF(DATOS_LOTE!$B$4="","",DATOS_LOTE!$B$4)</x:f>
      </x:c>
      <x:c r="D80" s="102" t="str">
        <x:f>IF(DATOS_LOTE!$B$5="","",DATOS_LOTE!$B$5)</x:f>
      </x:c>
      <x:c r="E80" s="100" t="str">
        <x:v>DERECHA</x:v>
      </x:c>
      <x:c r="F80" s="100" t="n">
        <x:v>34</x:v>
      </x:c>
      <x:c r="G80" s="100" t="str">
        <x:v>Tomate Semi</x:v>
      </x:c>
      <x:c r="H80" s="100" t="str">
        <x:v>tomate_semi</x:v>
      </x:c>
      <x:c r="I80" s="100" t="str">
        <x:f>IF('FACTURA_LIMPIA'!F34="","",'FACTURA_LIMPIA'!F34)</x:f>
      </x:c>
      <x:c r="J80" s="100" t="str">
        <x:f>IF('FACTURA_LIMPIA'!G34="","",'FACTURA_LIMPIA'!G34)</x:f>
      </x:c>
      <x:c r="K80" s="104" t="str">
        <x:f>IF('FACTURA_LIMPIA'!I34="","",'FACTURA_LIMPIA'!I34)</x:f>
      </x:c>
      <x:c r="L80" s="100" t="str"/>
    </x:row>
    <x:row r="81">
      <x:c r="A81" s="100" t="str">
        <x:v>LAABUNDANCIA_LOTE</x:v>
      </x:c>
      <x:c r="B81" s="100" t="n">
        <x:v>1</x:v>
      </x:c>
      <x:c r="C81" s="100" t="str">
        <x:f>IF(DATOS_LOTE!$B$4="","",DATOS_LOTE!$B$4)</x:f>
      </x:c>
      <x:c r="D81" s="102" t="str">
        <x:f>IF(DATOS_LOTE!$B$5="","",DATOS_LOTE!$B$5)</x:f>
      </x:c>
      <x:c r="E81" s="100" t="str">
        <x:v>DERECHA</x:v>
      </x:c>
      <x:c r="F81" s="100" t="n">
        <x:v>35</x:v>
      </x:c>
      <x:c r="G81" s="100" t="str">
        <x:v>Tomate de Árbol</x:v>
      </x:c>
      <x:c r="H81" s="100" t="str">
        <x:v>tomate_arbol_fresco</x:v>
      </x:c>
      <x:c r="I81" s="100" t="str">
        <x:f>IF('FACTURA_LIMPIA'!F35="","",'FACTURA_LIMPIA'!F35)</x:f>
      </x:c>
      <x:c r="J81" s="100" t="str">
        <x:f>IF('FACTURA_LIMPIA'!G35="","",'FACTURA_LIMPIA'!G35)</x:f>
      </x:c>
      <x:c r="K81" s="104" t="str">
        <x:f>IF('FACTURA_LIMPIA'!I35="","",'FACTURA_LIMPIA'!I35)</x:f>
      </x:c>
      <x:c r="L81" s="100" t="str"/>
    </x:row>
    <x:row r="82">
      <x:c r="A82" s="100" t="str">
        <x:v>LAABUNDANCIA_LOTE</x:v>
      </x:c>
      <x:c r="B82" s="100" t="n">
        <x:v>1</x:v>
      </x:c>
      <x:c r="C82" s="100" t="str">
        <x:f>IF(DATOS_LOTE!$B$4="","",DATOS_LOTE!$B$4)</x:f>
      </x:c>
      <x:c r="D82" s="102" t="str">
        <x:f>IF(DATOS_LOTE!$B$5="","",DATOS_LOTE!$B$5)</x:f>
      </x:c>
      <x:c r="E82" s="100" t="str">
        <x:v>DERECHA</x:v>
      </x:c>
      <x:c r="F82" s="100" t="n">
        <x:v>36</x:v>
      </x:c>
      <x:c r="G82" s="100" t="str">
        <x:v>Tomillo y Laurel</x:v>
      </x:c>
      <x:c r="H82" s="100" t="str">
        <x:v>tomillo_y_laurel</x:v>
      </x:c>
      <x:c r="I82" s="100" t="str">
        <x:f>IF('FACTURA_LIMPIA'!F36="","",'FACTURA_LIMPIA'!F36)</x:f>
      </x:c>
      <x:c r="J82" s="100" t="str">
        <x:f>IF('FACTURA_LIMPIA'!G36="","",'FACTURA_LIMPIA'!G36)</x:f>
      </x:c>
      <x:c r="K82" s="104" t="str">
        <x:f>IF('FACTURA_LIMPIA'!I36="","",'FACTURA_LIMPIA'!I36)</x:f>
      </x:c>
      <x:c r="L82" s="100" t="str"/>
    </x:row>
    <x:row r="83">
      <x:c r="A83" s="100" t="str">
        <x:v>LAABUNDANCIA_LOTE</x:v>
      </x:c>
      <x:c r="B83" s="100" t="n">
        <x:v>1</x:v>
      </x:c>
      <x:c r="C83" s="100" t="str">
        <x:f>IF(DATOS_LOTE!$B$4="","",DATOS_LOTE!$B$4)</x:f>
      </x:c>
      <x:c r="D83" s="102" t="str">
        <x:f>IF(DATOS_LOTE!$B$5="","",DATOS_LOTE!$B$5)</x:f>
      </x:c>
      <x:c r="E83" s="100" t="str">
        <x:v>DERECHA</x:v>
      </x:c>
      <x:c r="F83" s="100" t="n">
        <x:v>37</x:v>
      </x:c>
      <x:c r="G83" s="100" t="str">
        <x:v>Uchubas</x:v>
      </x:c>
      <x:c r="H83" s="100" t="str">
        <x:v>uchubas</x:v>
      </x:c>
      <x:c r="I83" s="100" t="str">
        <x:f>IF('FACTURA_LIMPIA'!F37="","",'FACTURA_LIMPIA'!F37)</x:f>
      </x:c>
      <x:c r="J83" s="100" t="str">
        <x:f>IF('FACTURA_LIMPIA'!G37="","",'FACTURA_LIMPIA'!G37)</x:f>
      </x:c>
      <x:c r="K83" s="104" t="str">
        <x:f>IF('FACTURA_LIMPIA'!I37="","",'FACTURA_LIMPIA'!I37)</x:f>
      </x:c>
      <x:c r="L83" s="100" t="str"/>
    </x:row>
    <x:row r="84">
      <x:c r="A84" s="100" t="str">
        <x:v>LAABUNDANCIA_LOTE</x:v>
      </x:c>
      <x:c r="B84" s="100" t="n">
        <x:v>1</x:v>
      </x:c>
      <x:c r="C84" s="100" t="str">
        <x:f>IF(DATOS_LOTE!$B$4="","",DATOS_LOTE!$B$4)</x:f>
      </x:c>
      <x:c r="D84" s="102" t="str">
        <x:f>IF(DATOS_LOTE!$B$5="","",DATOS_LOTE!$B$5)</x:f>
      </x:c>
      <x:c r="E84" s="100" t="str">
        <x:v>DERECHA</x:v>
      </x:c>
      <x:c r="F84" s="100" t="n">
        <x:v>38</x:v>
      </x:c>
      <x:c r="G84" s="100" t="str">
        <x:v>Uva Isabella</x:v>
      </x:c>
      <x:c r="H84" s="100" t="str">
        <x:v>uva_isabella</x:v>
      </x:c>
      <x:c r="I84" s="100" t="str">
        <x:f>IF('FACTURA_LIMPIA'!F38="","",'FACTURA_LIMPIA'!F38)</x:f>
      </x:c>
      <x:c r="J84" s="100" t="str">
        <x:f>IF('FACTURA_LIMPIA'!G38="","",'FACTURA_LIMPIA'!G38)</x:f>
      </x:c>
      <x:c r="K84" s="104" t="str">
        <x:f>IF('FACTURA_LIMPIA'!I38="","",'FACTURA_LIMPIA'!I38)</x:f>
      </x:c>
      <x:c r="L84" s="100" t="str"/>
    </x:row>
    <x:row r="85">
      <x:c r="A85" s="100" t="str">
        <x:v>LAABUNDANCIA_LOTE</x:v>
      </x:c>
      <x:c r="B85" s="100" t="n">
        <x:v>1</x:v>
      </x:c>
      <x:c r="C85" s="100" t="str">
        <x:f>IF(DATOS_LOTE!$B$4="","",DATOS_LOTE!$B$4)</x:f>
      </x:c>
      <x:c r="D85" s="102" t="str">
        <x:f>IF(DATOS_LOTE!$B$5="","",DATOS_LOTE!$B$5)</x:f>
      </x:c>
      <x:c r="E85" s="100" t="str">
        <x:v>DERECHA</x:v>
      </x:c>
      <x:c r="F85" s="100" t="n">
        <x:v>39</x:v>
      </x:c>
      <x:c r="G85" s="100" t="str">
        <x:v>Uva Combinada</x:v>
      </x:c>
      <x:c r="H85" s="100" t="str">
        <x:v>uva_combinada</x:v>
      </x:c>
      <x:c r="I85" s="100" t="str">
        <x:f>IF('FACTURA_LIMPIA'!F39="","",'FACTURA_LIMPIA'!F39)</x:f>
      </x:c>
      <x:c r="J85" s="100" t="str">
        <x:f>IF('FACTURA_LIMPIA'!G39="","",'FACTURA_LIMPIA'!G39)</x:f>
      </x:c>
      <x:c r="K85" s="104" t="str">
        <x:f>IF('FACTURA_LIMPIA'!I39="","",'FACTURA_LIMPIA'!I39)</x:f>
      </x:c>
      <x:c r="L85" s="100" t="str"/>
    </x:row>
    <x:row r="86">
      <x:c r="A86" s="100" t="str">
        <x:v>LAABUNDANCIA_LOTE</x:v>
      </x:c>
      <x:c r="B86" s="100" t="n">
        <x:v>1</x:v>
      </x:c>
      <x:c r="C86" s="100" t="str">
        <x:f>IF(DATOS_LOTE!$B$4="","",DATOS_LOTE!$B$4)</x:f>
      </x:c>
      <x:c r="D86" s="102" t="str">
        <x:f>IF(DATOS_LOTE!$B$5="","",DATOS_LOTE!$B$5)</x:f>
      </x:c>
      <x:c r="E86" s="100" t="str">
        <x:v>DERECHA</x:v>
      </x:c>
      <x:c r="F86" s="100" t="n">
        <x:v>40</x:v>
      </x:c>
      <x:c r="G86" s="100" t="str">
        <x:v>Uva Chilena</x:v>
      </x:c>
      <x:c r="H86" s="100" t="str">
        <x:v>uva_chilena</x:v>
      </x:c>
      <x:c r="I86" s="100" t="str">
        <x:f>IF('FACTURA_LIMPIA'!F40="","",'FACTURA_LIMPIA'!F40)</x:f>
      </x:c>
      <x:c r="J86" s="100" t="str">
        <x:f>IF('FACTURA_LIMPIA'!G40="","",'FACTURA_LIMPIA'!G40)</x:f>
      </x:c>
      <x:c r="K86" s="104" t="str">
        <x:f>IF('FACTURA_LIMPIA'!I40="","",'FACTURA_LIMPIA'!I40)</x:f>
      </x:c>
      <x:c r="L86" s="100" t="str"/>
    </x:row>
    <x:row r="87">
      <x:c r="A87" s="100" t="str">
        <x:v>LAABUNDANCIA_LOTE</x:v>
      </x:c>
      <x:c r="B87" s="100" t="n">
        <x:v>1</x:v>
      </x:c>
      <x:c r="C87" s="100" t="str">
        <x:f>IF(DATOS_LOTE!$B$4="","",DATOS_LOTE!$B$4)</x:f>
      </x:c>
      <x:c r="D87" s="102" t="str">
        <x:f>IF(DATOS_LOTE!$B$5="","",DATOS_LOTE!$B$5)</x:f>
      </x:c>
      <x:c r="E87" s="100" t="str">
        <x:v>DERECHA</x:v>
      </x:c>
      <x:c r="F87" s="100" t="n">
        <x:v>41</x:v>
      </x:c>
      <x:c r="G87" s="100" t="str">
        <x:v>Yuca</x:v>
      </x:c>
      <x:c r="H87" s="100" t="str">
        <x:v>yuca</x:v>
      </x:c>
      <x:c r="I87" s="100" t="str">
        <x:f>IF('FACTURA_LIMPIA'!F41="","",'FACTURA_LIMPIA'!F41)</x:f>
      </x:c>
      <x:c r="J87" s="100" t="str">
        <x:f>IF('FACTURA_LIMPIA'!G41="","",'FACTURA_LIMPIA'!G41)</x:f>
      </x:c>
      <x:c r="K87" s="104" t="str">
        <x:f>IF('FACTURA_LIMPIA'!I41="","",'FACTURA_LIMPIA'!I41)</x:f>
      </x:c>
      <x:c r="L87" s="100" t="str"/>
    </x:row>
    <x:row r="88">
      <x:c r="A88" s="100" t="str">
        <x:v>LAABUNDANCIA_LOTE</x:v>
      </x:c>
      <x:c r="B88" s="100" t="n">
        <x:v>1</x:v>
      </x:c>
      <x:c r="C88" s="100" t="str">
        <x:f>IF(DATOS_LOTE!$B$4="","",DATOS_LOTE!$B$4)</x:f>
      </x:c>
      <x:c r="D88" s="102" t="str">
        <x:f>IF(DATOS_LOTE!$B$5="","",DATOS_LOTE!$B$5)</x:f>
      </x:c>
      <x:c r="E88" s="100" t="str">
        <x:v>DERECHA</x:v>
      </x:c>
      <x:c r="F88" s="100" t="n">
        <x:v>42</x:v>
      </x:c>
      <x:c r="G88" s="100" t="str">
        <x:v>Zanahoria Extra</x:v>
      </x:c>
      <x:c r="H88" s="100" t="str">
        <x:v>zanahoria</x:v>
      </x:c>
      <x:c r="I88" s="100" t="str">
        <x:f>IF('FACTURA_LIMPIA'!F42="","",'FACTURA_LIMPIA'!F42)</x:f>
      </x:c>
      <x:c r="J88" s="100" t="str">
        <x:f>IF('FACTURA_LIMPIA'!G42="","",'FACTURA_LIMPIA'!G42)</x:f>
      </x:c>
      <x:c r="K88" s="104" t="str">
        <x:f>IF('FACTURA_LIMPIA'!I42="","",'FACTURA_LIMPIA'!I42)</x:f>
      </x:c>
      <x:c r="L88" s="100" t="str"/>
    </x:row>
    <x:row r="89">
      <x:c r="A89" s="100" t="str">
        <x:v>LAABUNDANCIA_LOTE</x:v>
      </x:c>
      <x:c r="B89" s="100" t="n">
        <x:v>1</x:v>
      </x:c>
      <x:c r="C89" s="100" t="str">
        <x:f>IF(DATOS_LOTE!$B$4="","",DATOS_LOTE!$B$4)</x:f>
      </x:c>
      <x:c r="D89" s="102" t="str">
        <x:f>IF(DATOS_LOTE!$B$5="","",DATOS_LOTE!$B$5)</x:f>
      </x:c>
      <x:c r="E89" s="100" t="str">
        <x:v>DERECHA</x:v>
      </x:c>
      <x:c r="F89" s="100" t="n">
        <x:v>43</x:v>
      </x:c>
      <x:c r="G89" s="100" t="str">
        <x:v>Zanahoria Cero</x:v>
      </x:c>
      <x:c r="H89" s="100" t="str">
        <x:v>zanahoria</x:v>
      </x:c>
      <x:c r="I89" s="100" t="str">
        <x:f>IF('FACTURA_LIMPIA'!F43="","",'FACTURA_LIMPIA'!F43)</x:f>
      </x:c>
      <x:c r="J89" s="100" t="str">
        <x:f>IF('FACTURA_LIMPIA'!G43="","",'FACTURA_LIMPIA'!G43)</x:f>
      </x:c>
      <x:c r="K89" s="104" t="str">
        <x:f>IF('FACTURA_LIMPIA'!I43="","",'FACTURA_LIMPIA'!I43)</x:f>
      </x:c>
      <x:c r="L89" s="100" t="str"/>
    </x:row>
    <x:row r="90">
      <x:c r="A90" s="100" t="str">
        <x:v>LAABUNDANCIA_LOTE</x:v>
      </x:c>
      <x:c r="B90" s="100" t="n">
        <x:v>1</x:v>
      </x:c>
      <x:c r="C90" s="100" t="str">
        <x:f>IF(DATOS_LOTE!$B$4="","",DATOS_LOTE!$B$4)</x:f>
      </x:c>
      <x:c r="D90" s="102" t="str">
        <x:f>IF(DATOS_LOTE!$B$5="","",DATOS_LOTE!$B$5)</x:f>
      </x:c>
      <x:c r="E90" s="100" t="str">
        <x:v>DERECHA</x:v>
      </x:c>
      <x:c r="F90" s="100" t="n">
        <x:v>44</x:v>
      </x:c>
      <x:c r="G90" s="100" t="str">
        <x:v>Zukini</x:v>
      </x:c>
      <x:c r="H90" s="100" t="str">
        <x:v>zukini</x:v>
      </x:c>
      <x:c r="I90" s="100" t="str">
        <x:f>IF('FACTURA_LIMPIA'!F44="","",'FACTURA_LIMPIA'!F44)</x:f>
      </x:c>
      <x:c r="J90" s="100" t="str">
        <x:f>IF('FACTURA_LIMPIA'!G44="","",'FACTURA_LIMPIA'!G44)</x:f>
      </x:c>
      <x:c r="K90" s="104" t="str">
        <x:f>IF('FACTURA_LIMPIA'!I44="","",'FACTURA_LIMPIA'!I44)</x:f>
      </x:c>
      <x:c r="L90" s="100" t="str"/>
    </x:row>
    <x:row r="91">
      <x:c r="A91" s="100" t="str">
        <x:v>LAABUNDANCIA_LOTE</x:v>
      </x:c>
      <x:c r="B91" s="100" t="n">
        <x:v>1</x:v>
      </x:c>
      <x:c r="C91" s="100" t="str">
        <x:f>IF(DATOS_LOTE!$B$4="","",DATOS_LOTE!$B$4)</x:f>
      </x:c>
      <x:c r="D91" s="102" t="str">
        <x:f>IF(DATOS_LOTE!$B$5="","",DATOS_LOTE!$B$5)</x:f>
      </x:c>
      <x:c r="E91" s="100" t="str">
        <x:v>DERECHA</x:v>
      </x:c>
      <x:c r="F91" s="100" t="n">
        <x:v>45</x:v>
      </x:c>
      <x:c r="G91" s="100" t="str">
        <x:v>Zumo limón Grande</x:v>
      </x:c>
      <x:c r="H91" s="100" t="str">
        <x:v>zumo_limon_grande</x:v>
      </x:c>
      <x:c r="I91" s="100" t="str">
        <x:f>IF('FACTURA_LIMPIA'!F45="","",'FACTURA_LIMPIA'!F45)</x:f>
      </x:c>
      <x:c r="J91" s="100" t="str">
        <x:f>IF('FACTURA_LIMPIA'!G45="","",'FACTURA_LIMPIA'!G45)</x:f>
      </x:c>
      <x:c r="K91" s="104" t="str">
        <x:f>IF('FACTURA_LIMPIA'!I45="","",'FACTURA_LIMPIA'!I45)</x:f>
      </x:c>
      <x:c r="L91" s="100" t="str"/>
    </x:row>
    <x:row r="92">
      <x:c r="A92" s="100" t="str">
        <x:v>LAABUNDANCIA_LOTE</x:v>
      </x:c>
      <x:c r="B92" s="100" t="n">
        <x:v>1</x:v>
      </x:c>
      <x:c r="C92" s="100" t="str">
        <x:f>IF(DATOS_LOTE!$B$4="","",DATOS_LOTE!$B$4)</x:f>
      </x:c>
      <x:c r="D92" s="102" t="str">
        <x:f>IF(DATOS_LOTE!$B$5="","",DATOS_LOTE!$B$5)</x:f>
      </x:c>
      <x:c r="E92" s="100" t="str">
        <x:v>DERECHA</x:v>
      </x:c>
      <x:c r="F92" s="100" t="n">
        <x:v>46</x:v>
      </x:c>
      <x:c r="G92" s="100" t="str">
        <x:v>Zumo Limón Pequeño</x:v>
      </x:c>
      <x:c r="H92" s="100" t="str">
        <x:v>zumo_limon_pequeno</x:v>
      </x:c>
      <x:c r="I92" s="100" t="str">
        <x:f>IF('FACTURA_LIMPIA'!F46="","",'FACTURA_LIMPIA'!F46)</x:f>
      </x:c>
      <x:c r="J92" s="100" t="str">
        <x:f>IF('FACTURA_LIMPIA'!G46="","",'FACTURA_LIMPIA'!G46)</x:f>
      </x:c>
      <x:c r="K92" s="104" t="str">
        <x:f>IF('FACTURA_LIMPIA'!I46="","",'FACTURA_LIMPIA'!I46)</x:f>
      </x:c>
      <x:c r="L92" s="100" t="str"/>
    </x:row>
  </x:sheetData>
  <x:pageMargins left="0.7" right="0.7" top="0.75" bottom="0.75" header="0.3" footer="0.3"/>
  <x:tableParts count="1">
    <x:tablePart xmlns:r="http://schemas.openxmlformats.org/officeDocument/2006/relationships" r:id="R34d41cffa5ed4e9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8" hidden="0" customWidth="1"/>
    <x:col min="4" max="4" width="26" hidden="0" customWidth="1"/>
    <x:col min="5" max="5" width="22" hidden="0" customWidth="1"/>
    <x:col min="6" max="6" width="30" hidden="0" customWidth="1"/>
    <x:col min="7" max="7" width="38" hidden="0" customWidth="1"/>
    <x:col min="8" max="8" width="45" hidden="0" customWidth="1"/>
    <x:col min="9" max="9" width="26" hidden="0" customWidth="1"/>
    <x:col min="10" max="10" width="12" hidden="0" customWidth="1"/>
    <x:col min="11" max="11" width="18" hidden="0" customWidth="1"/>
    <x:col min="12" max="12" width="18" hidden="0" customWidth="1"/>
    <x:col min="13" max="13" width="60" hidden="0" customWidth="1"/>
  </x:cols>
  <x:sheetData>
    <x:row r="1" ht="28" customHeight="1">
      <x:c r="A1" s="29" t="str">
        <x:v>seccion</x:v>
      </x:c>
      <x:c r="B1" s="29" t="str">
        <x:v>filaExcel</x:v>
      </x:c>
      <x:c r="C1" s="29" t="str">
        <x:v>productoPlantilla</x:v>
      </x:c>
      <x:c r="D1" s="29" t="str">
        <x:v>productoClave</x:v>
      </x:c>
      <x:c r="E1" s="29" t="str">
        <x:v>estado</x:v>
      </x:c>
      <x:c r="F1" s="29" t="str">
        <x:v>productoAppPrincipal</x:v>
      </x:c>
      <x:c r="G1" s="29" t="str">
        <x:v>appProductId</x:v>
      </x:c>
      <x:c r="H1" s="29" t="str">
        <x:v>productosVinculados</x:v>
      </x:c>
      <x:c r="I1" s="29" t="str">
        <x:v>regla</x:v>
      </x:c>
      <x:c r="J1" s="29" t="str">
        <x:v>margenObjetivo</x:v>
      </x:c>
      <x:c r="K1" s="29" t="str">
        <x:v>unidadCompraSugerida</x:v>
      </x:c>
      <x:c r="L1" s="29" t="str">
        <x:v>unidadVentaSugerida</x:v>
      </x:c>
      <x:c r="M1" s="29" t="str">
        <x:v>nota</x:v>
      </x:c>
    </x:row>
    <x:row r="2">
      <x:c r="A2" s="23" t="str">
        <x:v>IZQUIERDA</x:v>
      </x:c>
      <x:c r="B2" s="23" t="n">
        <x:v>2</x:v>
      </x:c>
      <x:c r="C2" s="23" t="str">
        <x:v>Acelga</x:v>
      </x:c>
      <x:c r="D2" s="23" t="str">
        <x:v>acelga</x:v>
      </x:c>
      <x:c r="E2" s="23" t="str">
        <x:v>CONECTADO_CON_CORRECCION</x:v>
      </x:c>
      <x:c r="F2" s="23" t="str">
        <x:v>Aceiga</x:v>
      </x:c>
      <x:c r="G2" s="23" t="str">
        <x:v>d9399b15-e43d-49c0-9c40-b9c471a720a5</x:v>
      </x:c>
      <x:c r="H2" s="23" t="str"/>
      <x:c r="I2" s="23" t="str">
        <x:v>DIRECTO_KILO</x:v>
      </x:c>
      <x:c r="J2" s="106" t="n">
        <x:v>60</x:v>
      </x:c>
      <x:c r="K2" s="23" t="str">
        <x:v>KILO</x:v>
      </x:c>
      <x:c r="L2" s="23" t="str">
        <x:v>KILO</x:v>
      </x:c>
      <x:c r="M2" s="23" t="str">
        <x:v>Compra kilo, vende kilo. Margen mínimo 60%.</x:v>
      </x:c>
    </x:row>
    <x:row r="3">
      <x:c r="A3" s="23" t="str">
        <x:v>IZQUIERDA</x:v>
      </x:c>
      <x:c r="B3" s="23" t="n">
        <x:v>3</x:v>
      </x:c>
      <x:c r="C3" s="23" t="str">
        <x:v>Aguacate</x:v>
      </x:c>
      <x:c r="D3" s="23" t="str">
        <x:v>aguacate</x:v>
      </x:c>
      <x:c r="E3" s="23" t="str">
        <x:v>CONECTADO</x:v>
      </x:c>
      <x:c r="F3" s="23" t="str">
        <x:v>Aguacate</x:v>
      </x:c>
      <x:c r="G3" s="23" t="str">
        <x:v>e222575f-dc11-4222-b1fb-6aa81db8e667</x:v>
      </x:c>
      <x:c r="H3" s="23" t="str"/>
      <x:c r="I3" s="23" t="str">
        <x:v>DIRECTO_KILO</x:v>
      </x:c>
      <x:c r="J3" s="106" t="n">
        <x:v>45</x:v>
      </x:c>
      <x:c r="K3" s="23" t="str">
        <x:v>KILO</x:v>
      </x:c>
      <x:c r="L3" s="23" t="str">
        <x:v>KILO</x:v>
      </x:c>
      <x:c r="M3" s="23" t="str">
        <x:v>Compra kilo, vende kilo. Margen recomendado 40-45%.</x:v>
      </x:c>
    </x:row>
    <x:row r="4">
      <x:c r="A4" s="23" t="str">
        <x:v>IZQUIERDA</x:v>
      </x:c>
      <x:c r="B4" s="23" t="n">
        <x:v>4</x:v>
      </x:c>
      <x:c r="C4" s="23" t="str">
        <x:v>Ahuyamín</x:v>
      </x:c>
      <x:c r="D4" s="23" t="str">
        <x:v>ahuyamin</x:v>
      </x:c>
      <x:c r="E4" s="23" t="str">
        <x:v>CONECTADO</x:v>
      </x:c>
      <x:c r="F4" s="23" t="str">
        <x:v>Ahuyamin</x:v>
      </x:c>
      <x:c r="G4" s="23" t="str">
        <x:v>0b89bf7a-bd60-46f7-975c-9133334e8a61</x:v>
      </x:c>
      <x:c r="H4" s="23" t="str"/>
      <x:c r="I4" s="23" t="str">
        <x:v>DIRECTO_KILO</x:v>
      </x:c>
      <x:c r="J4" s="106" t="n">
        <x:v>35</x:v>
      </x:c>
      <x:c r="K4" s="23" t="str">
        <x:v>KILO</x:v>
      </x:c>
      <x:c r="L4" s="23" t="str">
        <x:v>KILO</x:v>
      </x:c>
      <x:c r="M4" s="23" t="str">
        <x:v>Compra kilo, vende kilo. Margen 35%.</x:v>
      </x:c>
    </x:row>
    <x:row r="5">
      <x:c r="A5" s="23" t="str">
        <x:v>IZQUIERDA</x:v>
      </x:c>
      <x:c r="B5" s="23" t="n">
        <x:v>5</x:v>
      </x:c>
      <x:c r="C5" s="23" t="str">
        <x:v>Ají</x:v>
      </x:c>
      <x:c r="D5" s="23" t="str">
        <x:v>aji_manual</x:v>
      </x:c>
      <x:c r="E5" s="23" t="str">
        <x:v>MANUAL</x:v>
      </x:c>
      <x:c r="F5" s="23" t="str">
        <x:v>Selección manual</x:v>
      </x:c>
      <x:c r="G5" s="23" t="str"/>
      <x:c r="H5" s="23" t="str"/>
      <x:c r="I5" s="23" t="str">
        <x:v>MANUAL</x:v>
      </x:c>
      <x:c r="J5" s="106" t="n">
        <x:v>60</x:v>
      </x:c>
      <x:c r="K5" s="23" t="str">
        <x:v>KILO</x:v>
      </x:c>
      <x:c r="L5" s="23" t="str">
        <x:v>KILO</x:v>
      </x:c>
      <x:c r="M5" s="23" t="str">
        <x:v>Manejo manual. No actualizar automáticamente.</x:v>
      </x:c>
    </x:row>
    <x:row r="6">
      <x:c r="A6" s="23" t="str">
        <x:v>IZQUIERDA</x:v>
      </x:c>
      <x:c r="B6" s="23" t="n">
        <x:v>6</x:v>
      </x:c>
      <x:c r="C6" s="23" t="str">
        <x:v>Ajo Criollo</x:v>
      </x:c>
      <x:c r="D6" s="23" t="str">
        <x:v>ajo_criollo_manojo</x:v>
      </x:c>
      <x:c r="E6" s="23" t="str">
        <x:v>CREAR_EN_APP</x:v>
      </x:c>
      <x:c r="F6" s="23" t="str"/>
      <x:c r="G6" s="23" t="str"/>
      <x:c r="H6" s="23" t="str"/>
      <x:c r="I6" s="23" t="str">
        <x:v>MATA_A_UNIDAD</x:v>
      </x:c>
      <x:c r="J6" s="106" t="n">
        <x:v>45</x:v>
      </x:c>
      <x:c r="K6" s="23" t="str">
        <x:v>UNIDAD</x:v>
      </x:c>
      <x:c r="L6" s="23" t="str">
        <x:v>UNIDAD</x:v>
      </x:c>
      <x:c r="M6" s="23" t="str">
        <x:v>1 mata = 10 manojos. Precio manojo = costo mata / 10 × 1,45.</x:v>
      </x:c>
    </x:row>
    <x:row r="7">
      <x:c r="A7" s="23" t="str">
        <x:v>IZQUIERDA</x:v>
      </x:c>
      <x:c r="B7" s="23" t="n">
        <x:v>7</x:v>
      </x:c>
      <x:c r="C7" s="23" t="str">
        <x:v>Ajo Blanco</x:v>
      </x:c>
      <x:c r="D7" s="23" t="str">
        <x:v>ajo_blanco_paquete</x:v>
      </x:c>
      <x:c r="E7" s="23" t="str">
        <x:v>CONECTADO</x:v>
      </x:c>
      <x:c r="F7" s="23" t="str">
        <x:v>Ajo Blanco</x:v>
      </x:c>
      <x:c r="G7" s="23" t="str">
        <x:v>55743b25-0997-4e63-8b29-ec2e78ef77e4</x:v>
      </x:c>
      <x:c r="H7" s="23" t="str"/>
      <x:c r="I7" s="23" t="str">
        <x:v>KILO_A_PAQUETE_ESPECIAL</x:v>
      </x:c>
      <x:c r="J7" s="106" t="n">
        <x:v>100</x:v>
      </x:c>
      <x:c r="K7" s="23" t="str">
        <x:v>KILO</x:v>
      </x:c>
      <x:c r="L7" s="23" t="str">
        <x:v>KILO</x:v>
      </x:c>
      <x:c r="M7" s="23" t="str">
        <x:v>De 2 kg salen 21 paquetes de 3 cabezas. Precio = costo paquete × 2.</x:v>
      </x:c>
    </x:row>
    <x:row r="8">
      <x:c r="A8" s="23" t="str">
        <x:v>IZQUIERDA</x:v>
      </x:c>
      <x:c r="B8" s="23" t="n">
        <x:v>8</x:v>
      </x:c>
      <x:c r="C8" s="23" t="str">
        <x:v>Ajo Pelado</x:v>
      </x:c>
      <x:c r="D8" s="23" t="str">
        <x:v>ajo_pelado_base</x:v>
      </x:c>
      <x:c r="E8" s="23" t="str">
        <x:v>MULTI_FORMULA</x:v>
      </x:c>
      <x:c r="F8" s="23" t="str"/>
      <x:c r="G8" s="23" t="str"/>
      <x:c r="H8" s="23" t="str">
        <x:v>Ajo Pelado Bolsa Grande, Ajo Pelado Bolsa Pequeña</x:v>
      </x:c>
      <x:c r="I8" s="23" t="str">
        <x:v>MULTI_FORMULA</x:v>
      </x:c>
      <x:c r="J8" s="106" t="n">
        <x:v>45</x:v>
      </x:c>
      <x:c r="K8" s="23" t="str">
        <x:v>KILO</x:v>
      </x:c>
      <x:c r="L8" s="23" t="str">
        <x:v>KILO</x:v>
      </x:c>
      <x:c r="M8" s="23" t="str">
        <x:v>Kilo base: 150g margen 45%; 75g margen 60%.</x:v>
      </x:c>
    </x:row>
    <x:row r="9">
      <x:c r="A9" s="23" t="str">
        <x:v>IZQUIERDA</x:v>
      </x:c>
      <x:c r="B9" s="23" t="n">
        <x:v>9</x:v>
      </x:c>
      <x:c r="C9" s="23" t="str">
        <x:v>Apio España</x:v>
      </x:c>
      <x:c r="D9" s="23" t="str">
        <x:v>apio_espana</x:v>
      </x:c>
      <x:c r="E9" s="23" t="str">
        <x:v>CREAR_EN_APP</x:v>
      </x:c>
      <x:c r="F9" s="23" t="str"/>
      <x:c r="G9" s="23" t="str"/>
      <x:c r="H9" s="23" t="str"/>
      <x:c r="I9" s="23" t="str">
        <x:v>MATA_A_KILO_ESPECIAL</x:v>
      </x:c>
      <x:c r="J9" s="106" t="n">
        <x:v>70</x:v>
      </x:c>
      <x:c r="K9" s="23" t="str">
        <x:v>MATA</x:v>
      </x:c>
      <x:c r="L9" s="23" t="str">
        <x:v>KILO</x:v>
      </x:c>
      <x:c r="M9" s="23" t="str">
        <x:v>Vender $3.000/kg si mata &lt;= $3.970 y pesa mínimo 2,25kg; si no, costoKg × 1,70.</x:v>
      </x:c>
    </x:row>
    <x:row r="10">
      <x:c r="A10" s="23" t="str">
        <x:v>IZQUIERDA</x:v>
      </x:c>
      <x:c r="B10" s="23" t="n">
        <x:v>10</x:v>
      </x:c>
      <x:c r="C10" s="23" t="str">
        <x:v>Arándanos</x:v>
      </x:c>
      <x:c r="D10" s="23" t="str">
        <x:v>arandanos</x:v>
      </x:c>
      <x:c r="E10" s="23" t="str">
        <x:v>CREAR_EN_APP</x:v>
      </x:c>
      <x:c r="F10" s="23" t="str"/>
      <x:c r="G10" s="23" t="str"/>
      <x:c r="H10" s="23" t="str"/>
      <x:c r="I10" s="23" t="str">
        <x:v>SIN_REGLA</x:v>
      </x:c>
      <x:c r="J10" s="106" t="n">
        <x:v>50</x:v>
      </x:c>
      <x:c r="K10" s="23" t="str">
        <x:v>KILO</x:v>
      </x:c>
      <x:c r="L10" s="23" t="str">
        <x:v>KILO</x:v>
      </x:c>
      <x:c r="M10" s="23" t="str">
        <x:v>Sin regla específica. Revisar manualmente.</x:v>
      </x:c>
    </x:row>
    <x:row r="11">
      <x:c r="A11" s="23" t="str">
        <x:v>IZQUIERDA</x:v>
      </x:c>
      <x:c r="B11" s="23" t="n">
        <x:v>11</x:v>
      </x:c>
      <x:c r="C11" s="23" t="str">
        <x:v>Arveja</x:v>
      </x:c>
      <x:c r="D11" s="23" t="str">
        <x:v>arveja_con_cascara</x:v>
      </x:c>
      <x:c r="E11" s="23" t="str">
        <x:v>MULTI_FORMULA</x:v>
      </x:c>
      <x:c r="F11" s="23" t="str">
        <x:v>Arveja</x:v>
      </x:c>
      <x:c r="G11" s="23" t="str">
        <x:v>513b67c9-316d-47cd-9597-73ebb039f6fe</x:v>
      </x:c>
      <x:c r="H11" s="23" t="str">
        <x:v>Arveja, Arveja Desgranada, Arveja Paquete 150g, Arveja Paquete 260g</x:v>
      </x:c>
      <x:c r="I11" s="23" t="str">
        <x:v>MULTI_FORMULA</x:v>
      </x:c>
      <x:c r="J11" s="106" t="n">
        <x:v>35</x:v>
      </x:c>
      <x:c r="K11" s="23" t="str">
        <x:v>KILO</x:v>
      </x:c>
      <x:c r="L11" s="23" t="str">
        <x:v>KILO</x:v>
      </x:c>
      <x:c r="M11" s="23" t="str">
        <x:v>3 kg con cáscara = 1 kg desgranada. Paquetes 150g y 270g según fórmula.</x:v>
      </x:c>
    </x:row>
    <x:row r="12">
      <x:c r="A12" s="23" t="str">
        <x:v>IZQUIERDA</x:v>
      </x:c>
      <x:c r="B12" s="23" t="n">
        <x:v>12</x:v>
      </x:c>
      <x:c r="C12" s="23" t="str">
        <x:v>Arracacha</x:v>
      </x:c>
      <x:c r="D12" s="23" t="str">
        <x:v>arracacha</x:v>
      </x:c>
      <x:c r="E12" s="23" t="str">
        <x:v>CONECTADO</x:v>
      </x:c>
      <x:c r="F12" s="23" t="str">
        <x:v>Arracacha</x:v>
      </x:c>
      <x:c r="G12" s="23" t="str">
        <x:v>78fdedcf-83c5-4eb0-a473-15f6420a61cc</x:v>
      </x:c>
      <x:c r="H12" s="23" t="str"/>
      <x:c r="I12" s="23" t="str">
        <x:v>DIRECTO_KILO</x:v>
      </x:c>
      <x:c r="J12" s="106" t="n">
        <x:v>35</x:v>
      </x:c>
      <x:c r="K12" s="23" t="str">
        <x:v>KILO</x:v>
      </x:c>
      <x:c r="L12" s="23" t="str">
        <x:v>KILO</x:v>
      </x:c>
      <x:c r="M12" s="23" t="str">
        <x:v>Compra kilo, vende kilo. Margen 35%.</x:v>
      </x:c>
    </x:row>
    <x:row r="13">
      <x:c r="A13" s="23" t="str">
        <x:v>IZQUIERDA</x:v>
      </x:c>
      <x:c r="B13" s="23" t="n">
        <x:v>13</x:v>
      </x:c>
      <x:c r="C13" s="23" t="str">
        <x:v>Banano</x:v>
      </x:c>
      <x:c r="D13" s="23" t="str">
        <x:v>banano</x:v>
      </x:c>
      <x:c r="E13" s="23" t="str">
        <x:v>CONECTADO</x:v>
      </x:c>
      <x:c r="F13" s="23" t="str">
        <x:v>Banano</x:v>
      </x:c>
      <x:c r="G13" s="23" t="str">
        <x:v>9ed94e62-a9b8-4e45-a824-f5644905d1ff</x:v>
      </x:c>
      <x:c r="H13" s="23" t="str"/>
      <x:c r="I13" s="23" t="str">
        <x:v>CAJA_A_KILO</x:v>
      </x:c>
      <x:c r="J13" s="106" t="n">
        <x:v>40</x:v>
      </x:c>
      <x:c r="K13" s="23" t="str">
        <x:v>CAJA</x:v>
      </x:c>
      <x:c r="L13" s="23" t="str">
        <x:v>KILO</x:v>
      </x:c>
      <x:c r="M13" s="23" t="str">
        <x:v>Caja default 18,5 kg. Vende kilo.</x:v>
      </x:c>
    </x:row>
    <x:row r="14">
      <x:c r="A14" s="23" t="str">
        <x:v>IZQUIERDA</x:v>
      </x:c>
      <x:c r="B14" s="23" t="n">
        <x:v>14</x:v>
      </x:c>
      <x:c r="C14" s="23" t="str">
        <x:v>Berenjena</x:v>
      </x:c>
      <x:c r="D14" s="23" t="str">
        <x:v>berenjena</x:v>
      </x:c>
      <x:c r="E14" s="23" t="str">
        <x:v>CREAR_EN_APP</x:v>
      </x:c>
      <x:c r="F14" s="23" t="str"/>
      <x:c r="G14" s="23" t="str"/>
      <x:c r="H14" s="23" t="str"/>
      <x:c r="I14" s="23" t="str">
        <x:v>SIN_REGLA</x:v>
      </x:c>
      <x:c r="J14" s="106" t="n">
        <x:v>50</x:v>
      </x:c>
      <x:c r="K14" s="23" t="str">
        <x:v>KILO</x:v>
      </x:c>
      <x:c r="L14" s="23" t="str">
        <x:v>KILO</x:v>
      </x:c>
      <x:c r="M14" s="23" t="str">
        <x:v>Sin regla específica. Revisar manualmente.</x:v>
      </x:c>
    </x:row>
    <x:row r="15">
      <x:c r="A15" s="23" t="str">
        <x:v>IZQUIERDA</x:v>
      </x:c>
      <x:c r="B15" s="23" t="n">
        <x:v>15</x:v>
      </x:c>
      <x:c r="C15" s="23" t="str">
        <x:v>Brócoli</x:v>
      </x:c>
      <x:c r="D15" s="23" t="str">
        <x:v>brocoli</x:v>
      </x:c>
      <x:c r="E15" s="23" t="str">
        <x:v>CONECTADO</x:v>
      </x:c>
      <x:c r="F15" s="23" t="str">
        <x:v>Brócoli</x:v>
      </x:c>
      <x:c r="G15" s="23" t="str">
        <x:v>73ada553-f806-41ea-9266-7722a7e72862</x:v>
      </x:c>
      <x:c r="H15" s="23" t="str"/>
      <x:c r="I15" s="23" t="str">
        <x:v>DIRECTO_UNIDAD</x:v>
      </x:c>
      <x:c r="J15" s="106" t="n">
        <x:v>50</x:v>
      </x:c>
      <x:c r="K15" s="23" t="str">
        <x:v>UNIDAD</x:v>
      </x:c>
      <x:c r="L15" s="23" t="str">
        <x:v>UNIDAD</x:v>
      </x:c>
      <x:c r="M15" s="23" t="str">
        <x:v>Compra unidad, vende unidad. Margen 50%.</x:v>
      </x:c>
    </x:row>
    <x:row r="16">
      <x:c r="A16" s="23" t="str">
        <x:v>IZQUIERDA</x:v>
      </x:c>
      <x:c r="B16" s="23" t="n">
        <x:v>16</x:v>
      </x:c>
      <x:c r="C16" s="23" t="str">
        <x:v>Calabaza</x:v>
      </x:c>
      <x:c r="D16" s="23" t="str">
        <x:v>calabaza</x:v>
      </x:c>
      <x:c r="E16" s="23" t="str">
        <x:v>CREAR_EN_APP</x:v>
      </x:c>
      <x:c r="F16" s="23" t="str"/>
      <x:c r="G16" s="23" t="str"/>
      <x:c r="H16" s="23" t="str"/>
      <x:c r="I16" s="23" t="str">
        <x:v>SIN_REGLA</x:v>
      </x:c>
      <x:c r="J16" s="106" t="n">
        <x:v>50</x:v>
      </x:c>
      <x:c r="K16" s="23" t="str">
        <x:v>KILO</x:v>
      </x:c>
      <x:c r="L16" s="23" t="str">
        <x:v>KILO</x:v>
      </x:c>
      <x:c r="M16" s="23" t="str">
        <x:v>Sin regla específica. Revisar manualmente.</x:v>
      </x:c>
    </x:row>
    <x:row r="17">
      <x:c r="A17" s="23" t="str">
        <x:v>IZQUIERDA</x:v>
      </x:c>
      <x:c r="B17" s="23" t="n">
        <x:v>17</x:v>
      </x:c>
      <x:c r="C17" s="23" t="str">
        <x:v>Calabacín</x:v>
      </x:c>
      <x:c r="D17" s="23" t="str">
        <x:v>calabacin</x:v>
      </x:c>
      <x:c r="E17" s="23" t="str">
        <x:v>CREAR_EN_APP</x:v>
      </x:c>
      <x:c r="F17" s="23" t="str"/>
      <x:c r="G17" s="23" t="str"/>
      <x:c r="H17" s="23" t="str"/>
      <x:c r="I17" s="23" t="str">
        <x:v>SIN_REGLA</x:v>
      </x:c>
      <x:c r="J17" s="106" t="n">
        <x:v>50</x:v>
      </x:c>
      <x:c r="K17" s="23" t="str">
        <x:v>KILO</x:v>
      </x:c>
      <x:c r="L17" s="23" t="str">
        <x:v>KILO</x:v>
      </x:c>
      <x:c r="M17" s="23" t="str">
        <x:v>Sin regla específica. Revisar manualmente.</x:v>
      </x:c>
    </x:row>
    <x:row r="18">
      <x:c r="A18" s="23" t="str">
        <x:v>IZQUIERDA</x:v>
      </x:c>
      <x:c r="B18" s="23" t="n">
        <x:v>18</x:v>
      </x:c>
      <x:c r="C18" s="23" t="str">
        <x:v>Ceb. Cabezona Blanca</x:v>
      </x:c>
      <x:c r="D18" s="23" t="str">
        <x:v>cebolla_cabezona_blanca</x:v>
      </x:c>
      <x:c r="E18" s="23" t="str">
        <x:v>CREAR_EN_APP</x:v>
      </x:c>
      <x:c r="F18" s="23" t="str"/>
      <x:c r="G18" s="23" t="str"/>
      <x:c r="H18" s="23" t="str"/>
      <x:c r="I18" s="23" t="str">
        <x:v>BULTO_A_KILO</x:v>
      </x:c>
      <x:c r="J18" s="106" t="n">
        <x:v>60</x:v>
      </x:c>
      <x:c r="K18" s="23" t="str">
        <x:v>BULTO</x:v>
      </x:c>
      <x:c r="L18" s="23" t="str">
        <x:v>KILO</x:v>
      </x:c>
      <x:c r="M18" s="23" t="str">
        <x:v>Bulto default 50 kg o kilo. Margen recomendado 50-60%.</x:v>
      </x:c>
    </x:row>
    <x:row r="19">
      <x:c r="A19" s="23" t="str">
        <x:v>IZQUIERDA</x:v>
      </x:c>
      <x:c r="B19" s="23" t="n">
        <x:v>19</x:v>
      </x:c>
      <x:c r="C19" s="23" t="str">
        <x:v>Ceb. Cabezona Roja</x:v>
      </x:c>
      <x:c r="D19" s="23" t="str">
        <x:v>cebolla_cabezona_roja</x:v>
      </x:c>
      <x:c r="E19" s="23" t="str">
        <x:v>CREAR_EN_APP</x:v>
      </x:c>
      <x:c r="F19" s="23" t="str"/>
      <x:c r="G19" s="23" t="str"/>
      <x:c r="H19" s="23" t="str"/>
      <x:c r="I19" s="23" t="str">
        <x:v>DIRECTO_KILO</x:v>
      </x:c>
      <x:c r="J19" s="106" t="n">
        <x:v>35</x:v>
      </x:c>
      <x:c r="K19" s="23" t="str">
        <x:v>KILO</x:v>
      </x:c>
      <x:c r="L19" s="23" t="str">
        <x:v>KILO</x:v>
      </x:c>
      <x:c r="M19" s="23" t="str">
        <x:v>Compra kilo, vende kilo. Margen 35%.</x:v>
      </x:c>
    </x:row>
    <x:row r="20">
      <x:c r="A20" s="23" t="str">
        <x:v>IZQUIERDA</x:v>
      </x:c>
      <x:c r="B20" s="23" t="n">
        <x:v>20</x:v>
      </x:c>
      <x:c r="C20" s="23" t="str">
        <x:v>Ceb. Larga</x:v>
      </x:c>
      <x:c r="D20" s="23" t="str">
        <x:v>cebolla_larga</x:v>
      </x:c>
      <x:c r="E20" s="23" t="str">
        <x:v>CREAR_EN_APP</x:v>
      </x:c>
      <x:c r="F20" s="23" t="str"/>
      <x:c r="G20" s="23" t="str"/>
      <x:c r="H20" s="23" t="str"/>
      <x:c r="I20" s="23" t="str">
        <x:v>MATA_A_KILO</x:v>
      </x:c>
      <x:c r="J20" s="106" t="n">
        <x:v>60</x:v>
      </x:c>
      <x:c r="K20" s="23" t="str">
        <x:v>MATA</x:v>
      </x:c>
      <x:c r="L20" s="23" t="str">
        <x:v>KILO</x:v>
      </x:c>
      <x:c r="M20" s="23" t="str">
        <x:v>Mata default 25 kg. Vende kilo. Margen recomendado 50-60%.</x:v>
      </x:c>
    </x:row>
    <x:row r="21">
      <x:c r="A21" s="23" t="str">
        <x:v>IZQUIERDA</x:v>
      </x:c>
      <x:c r="B21" s="23" t="n">
        <x:v>21</x:v>
      </x:c>
      <x:c r="C21" s="23" t="str">
        <x:v>Ceb. Puerro</x:v>
      </x:c>
      <x:c r="D21" s="23" t="str">
        <x:v>ceb_puerro</x:v>
      </x:c>
      <x:c r="E21" s="23" t="str">
        <x:v>CREAR_EN_APP</x:v>
      </x:c>
      <x:c r="F21" s="23" t="str"/>
      <x:c r="G21" s="23" t="str"/>
      <x:c r="H21" s="23" t="str"/>
      <x:c r="I21" s="23" t="str">
        <x:v>SIN_REGLA</x:v>
      </x:c>
      <x:c r="J21" s="106" t="n">
        <x:v>50</x:v>
      </x:c>
      <x:c r="K21" s="23" t="str">
        <x:v>KILO</x:v>
      </x:c>
      <x:c r="L21" s="23" t="str">
        <x:v>KILO</x:v>
      </x:c>
      <x:c r="M21" s="23" t="str">
        <x:v>Sin regla específica. Revisar manualmente.</x:v>
      </x:c>
    </x:row>
    <x:row r="22">
      <x:c r="A22" s="23" t="str">
        <x:v>IZQUIERDA</x:v>
      </x:c>
      <x:c r="B22" s="23" t="n">
        <x:v>22</x:v>
      </x:c>
      <x:c r="C22" s="23" t="str">
        <x:v>Cilantro</x:v>
      </x:c>
      <x:c r="D22" s="23" t="str">
        <x:v>cilantro</x:v>
      </x:c>
      <x:c r="E22" s="23" t="str">
        <x:v>MULTI_FORMULA</x:v>
      </x:c>
      <x:c r="F22" s="23" t="str">
        <x:v>Cilantro</x:v>
      </x:c>
      <x:c r="G22" s="23" t="str">
        <x:v>1b6efa36-f8ca-42e9-809f-3ac2ecf36363</x:v>
      </x:c>
      <x:c r="H22" s="23" t="str">
        <x:v>Cilantro, Cilantro por Unidad</x:v>
      </x:c>
      <x:c r="I22" s="23" t="str">
        <x:v>MULTI_FORMULA</x:v>
      </x:c>
      <x:c r="J22" s="106" t="n">
        <x:v>119</x:v>
      </x:c>
      <x:c r="K22" s="23" t="str">
        <x:v>KILO</x:v>
      </x:c>
      <x:c r="L22" s="23" t="str">
        <x:v>KILO</x:v>
      </x:c>
      <x:c r="M22" s="23" t="str">
        <x:v>Paquete 65g, precio base $1.000, objetivo 119%.</x:v>
      </x:c>
    </x:row>
    <x:row r="23">
      <x:c r="A23" s="23" t="str">
        <x:v>IZQUIERDA</x:v>
      </x:c>
      <x:c r="B23" s="23" t="n">
        <x:v>23</x:v>
      </x:c>
      <x:c r="C23" s="23" t="str">
        <x:v>Ciruela</x:v>
      </x:c>
      <x:c r="D23" s="23" t="str">
        <x:v>ciruela</x:v>
      </x:c>
      <x:c r="E23" s="23" t="str">
        <x:v>CONECTADO</x:v>
      </x:c>
      <x:c r="F23" s="23" t="str">
        <x:v>Ciruela</x:v>
      </x:c>
      <x:c r="G23" s="23" t="str">
        <x:v>d150c4a0-a97b-4254-9a06-995ba7a40fdf</x:v>
      </x:c>
      <x:c r="H23" s="23" t="str"/>
      <x:c r="I23" s="23" t="str">
        <x:v>DIRECTO_BANDEJA</x:v>
      </x:c>
      <x:c r="J23" s="106" t="n">
        <x:v>50</x:v>
      </x:c>
      <x:c r="K23" s="23" t="str">
        <x:v>BANDEJA</x:v>
      </x:c>
      <x:c r="L23" s="23" t="str">
        <x:v>BANDEJA</x:v>
      </x:c>
      <x:c r="M23" s="23" t="str">
        <x:v>Compra bandeja, vende bandeja. Margen 50%.</x:v>
      </x:c>
    </x:row>
    <x:row r="24">
      <x:c r="A24" s="23" t="str">
        <x:v>IZQUIERDA</x:v>
      </x:c>
      <x:c r="B24" s="23" t="n">
        <x:v>24</x:v>
      </x:c>
      <x:c r="C24" s="23" t="str">
        <x:v>Coliflor</x:v>
      </x:c>
      <x:c r="D24" s="23" t="str">
        <x:v>coliflor</x:v>
      </x:c>
      <x:c r="E24" s="23" t="str">
        <x:v>CONECTADO</x:v>
      </x:c>
      <x:c r="F24" s="23" t="str">
        <x:v>Coliflor</x:v>
      </x:c>
      <x:c r="G24" s="23" t="str">
        <x:v>12ae5b8f-a359-4b3b-a373-d32cd67fb7fa</x:v>
      </x:c>
      <x:c r="H24" s="23" t="str"/>
      <x:c r="I24" s="23" t="str">
        <x:v>DIRECTO_UNIDAD</x:v>
      </x:c>
      <x:c r="J24" s="106" t="n">
        <x:v>50</x:v>
      </x:c>
      <x:c r="K24" s="23" t="str">
        <x:v>UNIDAD</x:v>
      </x:c>
      <x:c r="L24" s="23" t="str">
        <x:v>UNIDAD</x:v>
      </x:c>
      <x:c r="M24" s="23" t="str">
        <x:v>Compra unidad, vende unidad. Margen 50%.</x:v>
      </x:c>
    </x:row>
    <x:row r="25">
      <x:c r="A25" s="23" t="str">
        <x:v>IZQUIERDA</x:v>
      </x:c>
      <x:c r="B25" s="23" t="n">
        <x:v>25</x:v>
      </x:c>
      <x:c r="C25" s="23" t="str">
        <x:v>Curuba</x:v>
      </x:c>
      <x:c r="D25" s="23" t="str">
        <x:v>curuba</x:v>
      </x:c>
      <x:c r="E25" s="23" t="str">
        <x:v>CREAR_EN_APP</x:v>
      </x:c>
      <x:c r="F25" s="23" t="str"/>
      <x:c r="G25" s="23" t="str"/>
      <x:c r="H25" s="23" t="str"/>
      <x:c r="I25" s="23" t="str">
        <x:v>SIN_REGLA</x:v>
      </x:c>
      <x:c r="J25" s="106" t="n">
        <x:v>50</x:v>
      </x:c>
      <x:c r="K25" s="23" t="str">
        <x:v>KILO</x:v>
      </x:c>
      <x:c r="L25" s="23" t="str">
        <x:v>KILO</x:v>
      </x:c>
      <x:c r="M25" s="23" t="str">
        <x:v>Sin regla específica. Revisar manualmente.</x:v>
      </x:c>
    </x:row>
    <x:row r="26">
      <x:c r="A26" s="23" t="str">
        <x:v>IZQUIERDA</x:v>
      </x:c>
      <x:c r="B26" s="23" t="n">
        <x:v>26</x:v>
      </x:c>
      <x:c r="C26" s="23" t="str">
        <x:v>Champiñón</x:v>
      </x:c>
      <x:c r="D26" s="23" t="str">
        <x:v>champinon</x:v>
      </x:c>
      <x:c r="E26" s="23" t="str">
        <x:v>CREAR_EN_APP</x:v>
      </x:c>
      <x:c r="F26" s="23" t="str"/>
      <x:c r="G26" s="23" t="str"/>
      <x:c r="H26" s="23" t="str"/>
      <x:c r="I26" s="23" t="str">
        <x:v>SIN_REGLA</x:v>
      </x:c>
      <x:c r="J26" s="106" t="n">
        <x:v>50</x:v>
      </x:c>
      <x:c r="K26" s="23" t="str">
        <x:v>KILO</x:v>
      </x:c>
      <x:c r="L26" s="23" t="str">
        <x:v>KILO</x:v>
      </x:c>
      <x:c r="M26" s="23" t="str">
        <x:v>Sin regla específica. Revisar manualmente.</x:v>
      </x:c>
    </x:row>
    <x:row r="27">
      <x:c r="A27" s="23" t="str">
        <x:v>IZQUIERDA</x:v>
      </x:c>
      <x:c r="B27" s="23" t="n">
        <x:v>27</x:v>
      </x:c>
      <x:c r="C27" s="23" t="str">
        <x:v>Durazno</x:v>
      </x:c>
      <x:c r="D27" s="23" t="str">
        <x:v>durazno</x:v>
      </x:c>
      <x:c r="E27" s="23" t="str">
        <x:v>CONECTADO_CON_CORRECCION</x:v>
      </x:c>
      <x:c r="F27" s="23" t="str">
        <x:v>Durazno por Kilo</x:v>
      </x:c>
      <x:c r="G27" s="23" t="str">
        <x:v>b0a06757-960a-41e6-ab1d-1abf15786947</x:v>
      </x:c>
      <x:c r="H27" s="23" t="str"/>
      <x:c r="I27" s="23" t="str">
        <x:v>SIN_REGLA</x:v>
      </x:c>
      <x:c r="J27" s="106" t="n">
        <x:v>50</x:v>
      </x:c>
      <x:c r="K27" s="23" t="str">
        <x:v>KILO</x:v>
      </x:c>
      <x:c r="L27" s="23" t="str">
        <x:v>KILO</x:v>
      </x:c>
      <x:c r="M27" s="23" t="str">
        <x:v>Sin regla específica. Revisar manualmente.</x:v>
      </x:c>
    </x:row>
    <x:row r="28">
      <x:c r="A28" s="23" t="str">
        <x:v>IZQUIERDA</x:v>
      </x:c>
      <x:c r="B28" s="23" t="n">
        <x:v>28</x:v>
      </x:c>
      <x:c r="C28" s="23" t="str">
        <x:v>Espinaca</x:v>
      </x:c>
      <x:c r="D28" s="23" t="str">
        <x:v>espinaca</x:v>
      </x:c>
      <x:c r="E28" s="23" t="str">
        <x:v>CONECTADO</x:v>
      </x:c>
      <x:c r="F28" s="23" t="str">
        <x:v>Espinaca</x:v>
      </x:c>
      <x:c r="G28" s="23" t="str">
        <x:v>0e9b70bf-74be-4721-8d02-55dc197ef270</x:v>
      </x:c>
      <x:c r="H28" s="23" t="str"/>
      <x:c r="I28" s="23" t="str">
        <x:v>DIRECTO_KILO</x:v>
      </x:c>
      <x:c r="J28" s="106" t="n">
        <x:v>100</x:v>
      </x:c>
      <x:c r="K28" s="23" t="str">
        <x:v>KILO</x:v>
      </x:c>
      <x:c r="L28" s="23" t="str">
        <x:v>KILO</x:v>
      </x:c>
      <x:c r="M28" s="23" t="str">
        <x:v>Compra kilo, vende kilo. Margen 100%.</x:v>
      </x:c>
    </x:row>
    <x:row r="29">
      <x:c r="A29" s="23" t="str">
        <x:v>IZQUIERDA</x:v>
      </x:c>
      <x:c r="B29" s="23" t="n">
        <x:v>29</x:v>
      </x:c>
      <x:c r="C29" s="23" t="str">
        <x:v>Fresa</x:v>
      </x:c>
      <x:c r="D29" s="23" t="str">
        <x:v>fresa</x:v>
      </x:c>
      <x:c r="E29" s="23" t="str">
        <x:v>CONECTADO_CON_CORRECCION</x:v>
      </x:c>
      <x:c r="F29" s="23" t="str">
        <x:v>Fresa Paquete</x:v>
      </x:c>
      <x:c r="G29" s="23" t="str">
        <x:v>a6aecb5c-24f1-4389-adbd-6be57f01d8f7</x:v>
      </x:c>
      <x:c r="H29" s="23" t="str"/>
      <x:c r="I29" s="23" t="str">
        <x:v>DIRECTO_BANDEJA</x:v>
      </x:c>
      <x:c r="J29" s="106" t="n">
        <x:v>50</x:v>
      </x:c>
      <x:c r="K29" s="23" t="str">
        <x:v>BANDEJA</x:v>
      </x:c>
      <x:c r="L29" s="23" t="str">
        <x:v>BANDEJA</x:v>
      </x:c>
      <x:c r="M29" s="23" t="str">
        <x:v>Compra caja/bandeja. Revisar presentación. Margen sugerido 50%.</x:v>
      </x:c>
    </x:row>
    <x:row r="30">
      <x:c r="A30" s="23" t="str">
        <x:v>IZQUIERDA</x:v>
      </x:c>
      <x:c r="B30" s="23" t="n">
        <x:v>30</x:v>
      </x:c>
      <x:c r="C30" s="23" t="str">
        <x:v>Fresa Extra</x:v>
      </x:c>
      <x:c r="D30" s="23" t="str">
        <x:v>fresa_extra</x:v>
      </x:c>
      <x:c r="E30" s="23" t="str">
        <x:v>CREAR_EN_APP</x:v>
      </x:c>
      <x:c r="F30" s="23" t="str"/>
      <x:c r="G30" s="23" t="str"/>
      <x:c r="H30" s="23" t="str"/>
      <x:c r="I30" s="23" t="str">
        <x:v>DIRECTO_BANDEJA</x:v>
      </x:c>
      <x:c r="J30" s="106" t="n">
        <x:v>50</x:v>
      </x:c>
      <x:c r="K30" s="23" t="str">
        <x:v>BANDEJA</x:v>
      </x:c>
      <x:c r="L30" s="23" t="str">
        <x:v>BANDEJA</x:v>
      </x:c>
      <x:c r="M30" s="23" t="str">
        <x:v>Compra caja/bandeja. Revisar presentación. Margen sugerido 50%.</x:v>
      </x:c>
    </x:row>
    <x:row r="31">
      <x:c r="A31" s="23" t="str">
        <x:v>IZQUIERDA</x:v>
      </x:c>
      <x:c r="B31" s="23" t="n">
        <x:v>31</x:v>
      </x:c>
      <x:c r="C31" s="23" t="str">
        <x:v>Frijol Verde</x:v>
      </x:c>
      <x:c r="D31" s="23" t="str">
        <x:v>frijol_verde</x:v>
      </x:c>
      <x:c r="E31" s="23" t="str">
        <x:v>CREAR_EN_APP</x:v>
      </x:c>
      <x:c r="F31" s="23" t="str"/>
      <x:c r="G31" s="23" t="str"/>
      <x:c r="H31" s="23" t="str"/>
      <x:c r="I31" s="23" t="str">
        <x:v>SIN_REGLA</x:v>
      </x:c>
      <x:c r="J31" s="106" t="n">
        <x:v>50</x:v>
      </x:c>
      <x:c r="K31" s="23" t="str">
        <x:v>KILO</x:v>
      </x:c>
      <x:c r="L31" s="23" t="str">
        <x:v>KILO</x:v>
      </x:c>
      <x:c r="M31" s="23" t="str">
        <x:v>Sin regla específica. Revisar manualmente.</x:v>
      </x:c>
    </x:row>
    <x:row r="32">
      <x:c r="A32" s="23" t="str">
        <x:v>IZQUIERDA</x:v>
      </x:c>
      <x:c r="B32" s="23" t="n">
        <x:v>32</x:v>
      </x:c>
      <x:c r="C32" s="23" t="str">
        <x:v>Jengibre</x:v>
      </x:c>
      <x:c r="D32" s="23" t="str">
        <x:v>jengibre</x:v>
      </x:c>
      <x:c r="E32" s="23" t="str">
        <x:v>CONECTADO_CON_CORRECCION</x:v>
      </x:c>
      <x:c r="F32" s="23" t="str">
        <x:v>Gengibre</x:v>
      </x:c>
      <x:c r="G32" s="23" t="str">
        <x:v>8f753906-dc41-463a-8ffc-aee040d5e716</x:v>
      </x:c>
      <x:c r="H32" s="23" t="str"/>
      <x:c r="I32" s="23" t="str">
        <x:v>DIRECTO_KILO</x:v>
      </x:c>
      <x:c r="J32" s="106" t="n">
        <x:v>50</x:v>
      </x:c>
      <x:c r="K32" s="23" t="str">
        <x:v>KILO</x:v>
      </x:c>
      <x:c r="L32" s="23" t="str">
        <x:v>KILO</x:v>
      </x:c>
      <x:c r="M32" s="23" t="str">
        <x:v>Compra kilo, vende kilo. Margen mínimo 50%.</x:v>
      </x:c>
    </x:row>
    <x:row r="33">
      <x:c r="A33" s="23" t="str">
        <x:v>IZQUIERDA</x:v>
      </x:c>
      <x:c r="B33" s="23" t="n">
        <x:v>33</x:v>
      </x:c>
      <x:c r="C33" s="23" t="str">
        <x:v>Granadilla</x:v>
      </x:c>
      <x:c r="D33" s="23" t="str">
        <x:v>granadilla</x:v>
      </x:c>
      <x:c r="E33" s="23" t="str">
        <x:v>CONECTADO</x:v>
      </x:c>
      <x:c r="F33" s="23" t="str">
        <x:v>Granadilla</x:v>
      </x:c>
      <x:c r="G33" s="23" t="str">
        <x:v>a86be2c2-37e3-466a-90ae-8d4c563fa09e</x:v>
      </x:c>
      <x:c r="H33" s="23" t="str"/>
      <x:c r="I33" s="23" t="str">
        <x:v>DIRECTO_UNIDAD</x:v>
      </x:c>
      <x:c r="J33" s="106" t="n">
        <x:v>50</x:v>
      </x:c>
      <x:c r="K33" s="23" t="str">
        <x:v>UNIDAD</x:v>
      </x:c>
      <x:c r="L33" s="23" t="str">
        <x:v>UNIDAD</x:v>
      </x:c>
      <x:c r="M33" s="23" t="str">
        <x:v>Compra unidad, vende unidad. Margen cercano 50%.</x:v>
      </x:c>
    </x:row>
    <x:row r="34">
      <x:c r="A34" s="23" t="str">
        <x:v>IZQUIERDA</x:v>
      </x:c>
      <x:c r="B34" s="23" t="n">
        <x:v>34</x:v>
      </x:c>
      <x:c r="C34" s="23" t="str">
        <x:v>Guascas</x:v>
      </x:c>
      <x:c r="D34" s="23" t="str">
        <x:v>guascas</x:v>
      </x:c>
      <x:c r="E34" s="23" t="str">
        <x:v>CREAR_EN_APP</x:v>
      </x:c>
      <x:c r="F34" s="23" t="str"/>
      <x:c r="G34" s="23" t="str"/>
      <x:c r="H34" s="23" t="str"/>
      <x:c r="I34" s="23" t="str">
        <x:v>SIN_REGLA</x:v>
      </x:c>
      <x:c r="J34" s="106" t="n">
        <x:v>50</x:v>
      </x:c>
      <x:c r="K34" s="23" t="str">
        <x:v>KILO</x:v>
      </x:c>
      <x:c r="L34" s="23" t="str">
        <x:v>KILO</x:v>
      </x:c>
      <x:c r="M34" s="23" t="str">
        <x:v>Sin regla específica. Revisar manualmente.</x:v>
      </x:c>
    </x:row>
    <x:row r="35">
      <x:c r="A35" s="23" t="str">
        <x:v>IZQUIERDA</x:v>
      </x:c>
      <x:c r="B35" s="23" t="n">
        <x:v>35</x:v>
      </x:c>
      <x:c r="C35" s="23" t="str">
        <x:v>Guayaba</x:v>
      </x:c>
      <x:c r="D35" s="23" t="str">
        <x:v>guayaba</x:v>
      </x:c>
      <x:c r="E35" s="23" t="str">
        <x:v>CONECTADO</x:v>
      </x:c>
      <x:c r="F35" s="23" t="str">
        <x:v>Guayaba</x:v>
      </x:c>
      <x:c r="G35" s="23" t="str">
        <x:v>54e187d2-e648-457e-9678-6b63f354c69a</x:v>
      </x:c>
      <x:c r="H35" s="23" t="str"/>
      <x:c r="I35" s="23" t="str">
        <x:v>SIN_REGLA</x:v>
      </x:c>
      <x:c r="J35" s="106" t="n">
        <x:v>50</x:v>
      </x:c>
      <x:c r="K35" s="23" t="str">
        <x:v>KILO</x:v>
      </x:c>
      <x:c r="L35" s="23" t="str">
        <x:v>KILO</x:v>
      </x:c>
      <x:c r="M35" s="23" t="str">
        <x:v>Sin regla específica. Revisar manualmente.</x:v>
      </x:c>
    </x:row>
    <x:row r="36">
      <x:c r="A36" s="23" t="str">
        <x:v>IZQUIERDA</x:v>
      </x:c>
      <x:c r="B36" s="23" t="n">
        <x:v>36</x:v>
      </x:c>
      <x:c r="C36" s="23" t="str">
        <x:v>Guayaba Pera</x:v>
      </x:c>
      <x:c r="D36" s="23" t="str">
        <x:v>guayaba_pera</x:v>
      </x:c>
      <x:c r="E36" s="23" t="str">
        <x:v>CREAR_EN_APP</x:v>
      </x:c>
      <x:c r="F36" s="23" t="str"/>
      <x:c r="G36" s="23" t="str"/>
      <x:c r="H36" s="23" t="str"/>
      <x:c r="I36" s="23" t="str">
        <x:v>SIN_REGLA</x:v>
      </x:c>
      <x:c r="J36" s="106" t="n">
        <x:v>50</x:v>
      </x:c>
      <x:c r="K36" s="23" t="str">
        <x:v>KILO</x:v>
      </x:c>
      <x:c r="L36" s="23" t="str">
        <x:v>KILO</x:v>
      </x:c>
      <x:c r="M36" s="23" t="str">
        <x:v>Sin regla específica. Revisar manualmente.</x:v>
      </x:c>
    </x:row>
    <x:row r="37">
      <x:c r="A37" s="23" t="str">
        <x:v>IZQUIERDA</x:v>
      </x:c>
      <x:c r="B37" s="23" t="n">
        <x:v>37</x:v>
      </x:c>
      <x:c r="C37" s="23" t="str">
        <x:v>Guatila</x:v>
      </x:c>
      <x:c r="D37" s="23" t="str">
        <x:v>guatila</x:v>
      </x:c>
      <x:c r="E37" s="23" t="str">
        <x:v>CREAR_EN_APP</x:v>
      </x:c>
      <x:c r="F37" s="23" t="str"/>
      <x:c r="G37" s="23" t="str"/>
      <x:c r="H37" s="23" t="str"/>
      <x:c r="I37" s="23" t="str">
        <x:v>SIN_REGLA</x:v>
      </x:c>
      <x:c r="J37" s="106" t="n">
        <x:v>50</x:v>
      </x:c>
      <x:c r="K37" s="23" t="str">
        <x:v>KILO</x:v>
      </x:c>
      <x:c r="L37" s="23" t="str">
        <x:v>KILO</x:v>
      </x:c>
      <x:c r="M37" s="23" t="str">
        <x:v>Sin regla específica. Revisar manualmente.</x:v>
      </x:c>
    </x:row>
    <x:row r="38">
      <x:c r="A38" s="23" t="str">
        <x:v>IZQUIERDA</x:v>
      </x:c>
      <x:c r="B38" s="23" t="n">
        <x:v>38</x:v>
      </x:c>
      <x:c r="C38" s="23" t="str">
        <x:v>Guanábana</x:v>
      </x:c>
      <x:c r="D38" s="23" t="str">
        <x:v>guanabana_fresca</x:v>
      </x:c>
      <x:c r="E38" s="23" t="str">
        <x:v>CREAR_FRUTA_FRESCA</x:v>
      </x:c>
      <x:c r="F38" s="23" t="str">
        <x:v>Guanábana (fruta fresca)</x:v>
      </x:c>
      <x:c r="G38" s="23" t="str"/>
      <x:c r="H38" s="23" t="str"/>
      <x:c r="I38" s="23" t="str">
        <x:v>SIN_REGLA</x:v>
      </x:c>
      <x:c r="J38" s="106" t="n">
        <x:v>50</x:v>
      </x:c>
      <x:c r="K38" s="23" t="str">
        <x:v>KILO</x:v>
      </x:c>
      <x:c r="L38" s="23" t="str">
        <x:v>KILO</x:v>
      </x:c>
      <x:c r="M38" s="23" t="str">
        <x:v>Sin regla específica. Revisar manualmente.</x:v>
      </x:c>
    </x:row>
    <x:row r="39">
      <x:c r="A39" s="23" t="str">
        <x:v>IZQUIERDA</x:v>
      </x:c>
      <x:c r="B39" s="23" t="n">
        <x:v>39</x:v>
      </x:c>
      <x:c r="C39" s="23" t="str">
        <x:v>Habas</x:v>
      </x:c>
      <x:c r="D39" s="23" t="str">
        <x:v>habas</x:v>
      </x:c>
      <x:c r="E39" s="23" t="str">
        <x:v>CREAR_EN_APP</x:v>
      </x:c>
      <x:c r="F39" s="23" t="str"/>
      <x:c r="G39" s="23" t="str"/>
      <x:c r="H39" s="23" t="str"/>
      <x:c r="I39" s="23" t="str">
        <x:v>SIN_REGLA</x:v>
      </x:c>
      <x:c r="J39" s="106" t="n">
        <x:v>50</x:v>
      </x:c>
      <x:c r="K39" s="23" t="str">
        <x:v>KILO</x:v>
      </x:c>
      <x:c r="L39" s="23" t="str">
        <x:v>KILO</x:v>
      </x:c>
      <x:c r="M39" s="23" t="str">
        <x:v>Sin regla específica. Revisar manualmente.</x:v>
      </x:c>
    </x:row>
    <x:row r="40">
      <x:c r="A40" s="23" t="str">
        <x:v>IZQUIERDA</x:v>
      </x:c>
      <x:c r="B40" s="23" t="n">
        <x:v>40</x:v>
      </x:c>
      <x:c r="C40" s="23" t="str">
        <x:v>Habichuela</x:v>
      </x:c>
      <x:c r="D40" s="23" t="str">
        <x:v>habichuela</x:v>
      </x:c>
      <x:c r="E40" s="23" t="str">
        <x:v>CONECTADO</x:v>
      </x:c>
      <x:c r="F40" s="23" t="str">
        <x:v>Habichuela</x:v>
      </x:c>
      <x:c r="G40" s="23" t="str">
        <x:v>50a105ae-2f87-4e4e-9045-5159cf593b60</x:v>
      </x:c>
      <x:c r="H40" s="23" t="str"/>
      <x:c r="I40" s="23" t="str">
        <x:v>DIRECTO_KILO</x:v>
      </x:c>
      <x:c r="J40" s="106" t="n">
        <x:v>50</x:v>
      </x:c>
      <x:c r="K40" s="23" t="str">
        <x:v>KILO</x:v>
      </x:c>
      <x:c r="L40" s="23" t="str">
        <x:v>KILO</x:v>
      </x:c>
      <x:c r="M40" s="23" t="str">
        <x:v>Compra kilo, vende kilo. Margen 50%.</x:v>
      </x:c>
    </x:row>
    <x:row r="41">
      <x:c r="A41" s="23" t="str">
        <x:v>IZQUIERDA</x:v>
      </x:c>
      <x:c r="B41" s="23" t="n">
        <x:v>41</x:v>
      </x:c>
      <x:c r="C41" s="23" t="str">
        <x:v>Kiwi</x:v>
      </x:c>
      <x:c r="D41" s="23" t="str">
        <x:v>kiwi</x:v>
      </x:c>
      <x:c r="E41" s="23" t="str">
        <x:v>CREAR_EN_APP</x:v>
      </x:c>
      <x:c r="F41" s="23" t="str"/>
      <x:c r="G41" s="23" t="str"/>
      <x:c r="H41" s="23" t="str"/>
      <x:c r="I41" s="23" t="str">
        <x:v>SIN_REGLA</x:v>
      </x:c>
      <x:c r="J41" s="106" t="n">
        <x:v>50</x:v>
      </x:c>
      <x:c r="K41" s="23" t="str">
        <x:v>KILO</x:v>
      </x:c>
      <x:c r="L41" s="23" t="str">
        <x:v>KILO</x:v>
      </x:c>
      <x:c r="M41" s="23" t="str">
        <x:v>Sin regla específica. Revisar manualmente.</x:v>
      </x:c>
    </x:row>
    <x:row r="42">
      <x:c r="A42" s="23" t="str">
        <x:v>IZQUIERDA</x:v>
      </x:c>
      <x:c r="B42" s="23" t="n">
        <x:v>42</x:v>
      </x:c>
      <x:c r="C42" s="23" t="str">
        <x:v>Lechuga Crespa</x:v>
      </x:c>
      <x:c r="D42" s="23" t="str">
        <x:v>lechuga_crespa</x:v>
      </x:c>
      <x:c r="E42" s="23" t="str">
        <x:v>CONECTADO</x:v>
      </x:c>
      <x:c r="F42" s="23" t="str">
        <x:v>Lechuga Crespa</x:v>
      </x:c>
      <x:c r="G42" s="23" t="str">
        <x:v>cd1c10f8-2234-4719-988e-cc2d2c72f750</x:v>
      </x:c>
      <x:c r="H42" s="23" t="str"/>
      <x:c r="I42" s="23" t="str">
        <x:v>DIRECTO_UNIDAD</x:v>
      </x:c>
      <x:c r="J42" s="106" t="n">
        <x:v>60</x:v>
      </x:c>
      <x:c r="K42" s="23" t="str">
        <x:v>UNIDAD</x:v>
      </x:c>
      <x:c r="L42" s="23" t="str">
        <x:v>UNIDAD</x:v>
      </x:c>
      <x:c r="M42" s="23" t="str">
        <x:v>Compra unidad, vende unidad. Margen recomendado 50-60%.</x:v>
      </x:c>
    </x:row>
    <x:row r="43">
      <x:c r="A43" s="23" t="str">
        <x:v>IZQUIERDA</x:v>
      </x:c>
      <x:c r="B43" s="23" t="n">
        <x:v>43</x:v>
      </x:c>
      <x:c r="C43" s="23" t="str">
        <x:v>Lechuga Batavia</x:v>
      </x:c>
      <x:c r="D43" s="23" t="str">
        <x:v>lechuga_batavia</x:v>
      </x:c>
      <x:c r="E43" s="23" t="str">
        <x:v>CONECTADO</x:v>
      </x:c>
      <x:c r="F43" s="23" t="str">
        <x:v>Lechuga Batavia</x:v>
      </x:c>
      <x:c r="G43" s="23" t="str">
        <x:v>47234d72-1d52-427f-90f2-625307d3c217</x:v>
      </x:c>
      <x:c r="H43" s="23" t="str"/>
      <x:c r="I43" s="23" t="str">
        <x:v>DIRECTO_UNIDAD</x:v>
      </x:c>
      <x:c r="J43" s="106" t="n">
        <x:v>70</x:v>
      </x:c>
      <x:c r="K43" s="23" t="str">
        <x:v>UNIDAD</x:v>
      </x:c>
      <x:c r="L43" s="23" t="str">
        <x:v>UNIDAD</x:v>
      </x:c>
      <x:c r="M43" s="23" t="str">
        <x:v>Compra unidad, vende unidad. Margen recomendado 60-70%.</x:v>
      </x:c>
    </x:row>
    <x:row r="44">
      <x:c r="A44" s="23" t="str">
        <x:v>IZQUIERDA</x:v>
      </x:c>
      <x:c r="B44" s="23" t="n">
        <x:v>44</x:v>
      </x:c>
      <x:c r="C44" s="23" t="str">
        <x:v>Limón Taití</x:v>
      </x:c>
      <x:c r="D44" s="23" t="str">
        <x:v>limon_taiti</x:v>
      </x:c>
      <x:c r="E44" s="23" t="str">
        <x:v>CREAR_EN_APP</x:v>
      </x:c>
      <x:c r="F44" s="23" t="str"/>
      <x:c r="G44" s="23" t="str"/>
      <x:c r="H44" s="23" t="str"/>
      <x:c r="I44" s="23" t="str">
        <x:v>SIN_REGLA</x:v>
      </x:c>
      <x:c r="J44" s="106" t="n">
        <x:v>50</x:v>
      </x:c>
      <x:c r="K44" s="23" t="str">
        <x:v>KILO</x:v>
      </x:c>
      <x:c r="L44" s="23" t="str">
        <x:v>KILO</x:v>
      </x:c>
      <x:c r="M44" s="23" t="str">
        <x:v>Sin regla específica. Revisar manualmente.</x:v>
      </x:c>
    </x:row>
    <x:row r="45">
      <x:c r="A45" s="23" t="str">
        <x:v>IZQUIERDA</x:v>
      </x:c>
      <x:c r="B45" s="23" t="n">
        <x:v>45</x:v>
      </x:c>
      <x:c r="C45" s="23" t="str">
        <x:v>Limón Castilla</x:v>
      </x:c>
      <x:c r="D45" s="23" t="str">
        <x:v>limon_castilla_docena</x:v>
      </x:c>
      <x:c r="E45" s="23" t="str">
        <x:v>CREAR_EN_APP</x:v>
      </x:c>
      <x:c r="F45" s="23" t="str"/>
      <x:c r="G45" s="23" t="str"/>
      <x:c r="H45" s="23" t="str"/>
      <x:c r="I45" s="23" t="str">
        <x:v>KILO_A_PAQUETE_GRAMOS</x:v>
      </x:c>
      <x:c r="J45" s="106" t="n">
        <x:v>85</x:v>
      </x:c>
      <x:c r="K45" s="23" t="str">
        <x:v>KILO</x:v>
      </x:c>
      <x:c r="L45" s="23" t="str">
        <x:v>BANDEJA</x:v>
      </x:c>
      <x:c r="M45" s="23" t="str">
        <x:v>Paquete 12 unidades = 360g. Precio = costoKg × 0,36 × 1,85.</x:v>
      </x:c>
    </x:row>
    <x:row r="46">
      <x:c r="A46" s="23" t="str">
        <x:v>IZQUIERDA</x:v>
      </x:c>
      <x:c r="B46" s="23" t="n">
        <x:v>46</x:v>
      </x:c>
      <x:c r="C46" s="23" t="str">
        <x:v>Limón Mandarino</x:v>
      </x:c>
      <x:c r="D46" s="23" t="str">
        <x:v>limon_mandarino</x:v>
      </x:c>
      <x:c r="E46" s="23" t="str">
        <x:v>CONECTADO</x:v>
      </x:c>
      <x:c r="F46" s="23" t="str">
        <x:v>Limón Mandarino</x:v>
      </x:c>
      <x:c r="G46" s="23" t="str">
        <x:v>98743349-8148-4580-a1d4-45355334ac35</x:v>
      </x:c>
      <x:c r="H46" s="23" t="str"/>
      <x:c r="I46" s="23" t="str">
        <x:v>DIRECTO_KILO</x:v>
      </x:c>
      <x:c r="J46" s="106" t="n">
        <x:v>55</x:v>
      </x:c>
      <x:c r="K46" s="23" t="str">
        <x:v>KILO</x:v>
      </x:c>
      <x:c r="L46" s="23" t="str">
        <x:v>KILO</x:v>
      </x:c>
      <x:c r="M46" s="23" t="str">
        <x:v>Compra kilo, vende kilo. Margen recomendado 55%.</x:v>
      </x:c>
    </x:row>
    <x:row r="47">
      <x:c r="A47" s="23" t="str">
        <x:v>IZQUIERDA</x:v>
      </x:c>
      <x:c r="B47" s="23" t="n">
        <x:v>47</x:v>
      </x:c>
      <x:c r="C47" s="23" t="str">
        <x:v>Lulo</x:v>
      </x:c>
      <x:c r="D47" s="23" t="str">
        <x:v>lulo_fresco</x:v>
      </x:c>
      <x:c r="E47" s="23" t="str">
        <x:v>CREAR_FRUTA_FRESCA</x:v>
      </x:c>
      <x:c r="F47" s="23" t="str">
        <x:v>Lulo (fruta fresca)</x:v>
      </x:c>
      <x:c r="G47" s="23" t="str"/>
      <x:c r="H47" s="23" t="str"/>
      <x:c r="I47" s="23" t="str">
        <x:v>CAJA_A_KILO</x:v>
      </x:c>
      <x:c r="J47" s="106" t="n">
        <x:v>50</x:v>
      </x:c>
      <x:c r="K47" s="23" t="str">
        <x:v>CAJA</x:v>
      </x:c>
      <x:c r="L47" s="23" t="str">
        <x:v>KILO</x:v>
      </x:c>
      <x:c r="M47" s="23" t="str">
        <x:v>Fruta fresca. Caja default 11-12 kg. No conectar a pulpa.</x:v>
      </x:c>
    </x:row>
    <x:row r="48">
      <x:c r="A48" s="23" t="str">
        <x:v>DERECHA</x:v>
      </x:c>
      <x:c r="B48" s="23" t="n">
        <x:v>2</x:v>
      </x:c>
      <x:c r="C48" s="23" t="str">
        <x:v>Maíz por Arroba</x:v>
      </x:c>
      <x:c r="D48" s="23" t="str">
        <x:v>maiz_por_arroba</x:v>
      </x:c>
      <x:c r="E48" s="23" t="str">
        <x:v>CREAR_EN_APP</x:v>
      </x:c>
      <x:c r="F48" s="23" t="str"/>
      <x:c r="G48" s="23" t="str"/>
      <x:c r="H48" s="23" t="str"/>
      <x:c r="I48" s="23" t="str">
        <x:v>SIN_REGLA</x:v>
      </x:c>
      <x:c r="J48" s="106" t="n">
        <x:v>50</x:v>
      </x:c>
      <x:c r="K48" s="23" t="str">
        <x:v>KILO</x:v>
      </x:c>
      <x:c r="L48" s="23" t="str">
        <x:v>KILO</x:v>
      </x:c>
      <x:c r="M48" s="23" t="str">
        <x:v>Sin regla específica. Revisar manualmente.</x:v>
      </x:c>
    </x:row>
    <x:row r="49">
      <x:c r="A49" s="23" t="str">
        <x:v>DERECHA</x:v>
      </x:c>
      <x:c r="B49" s="23" t="n">
        <x:v>3</x:v>
      </x:c>
      <x:c r="C49" s="23" t="str">
        <x:v>Maíz Entero</x:v>
      </x:c>
      <x:c r="D49" s="23" t="str">
        <x:v>maiz_entero</x:v>
      </x:c>
      <x:c r="E49" s="23" t="str">
        <x:v>CREAR_EN_APP</x:v>
      </x:c>
      <x:c r="F49" s="23" t="str"/>
      <x:c r="G49" s="23" t="str"/>
      <x:c r="H49" s="23" t="str"/>
      <x:c r="I49" s="23" t="str">
        <x:v>SIN_REGLA</x:v>
      </x:c>
      <x:c r="J49" s="106" t="n">
        <x:v>50</x:v>
      </x:c>
      <x:c r="K49" s="23" t="str">
        <x:v>KILO</x:v>
      </x:c>
      <x:c r="L49" s="23" t="str">
        <x:v>KILO</x:v>
      </x:c>
      <x:c r="M49" s="23" t="str">
        <x:v>Sin regla específica. Revisar manualmente.</x:v>
      </x:c>
    </x:row>
    <x:row r="50">
      <x:c r="A50" s="23" t="str">
        <x:v>DERECHA</x:v>
      </x:c>
      <x:c r="B50" s="23" t="n">
        <x:v>4</x:v>
      </x:c>
      <x:c r="C50" s="23" t="str">
        <x:v>Maíz Partido</x:v>
      </x:c>
      <x:c r="D50" s="23" t="str">
        <x:v>maiz_partido</x:v>
      </x:c>
      <x:c r="E50" s="23" t="str">
        <x:v>CREAR_EN_APP</x:v>
      </x:c>
      <x:c r="F50" s="23" t="str"/>
      <x:c r="G50" s="23" t="str"/>
      <x:c r="H50" s="23" t="str"/>
      <x:c r="I50" s="23" t="str">
        <x:v>SIN_REGLA</x:v>
      </x:c>
      <x:c r="J50" s="106" t="n">
        <x:v>50</x:v>
      </x:c>
      <x:c r="K50" s="23" t="str">
        <x:v>KILO</x:v>
      </x:c>
      <x:c r="L50" s="23" t="str">
        <x:v>KILO</x:v>
      </x:c>
      <x:c r="M50" s="23" t="str">
        <x:v>Sin regla específica. Revisar manualmente.</x:v>
      </x:c>
    </x:row>
    <x:row r="51">
      <x:c r="A51" s="23" t="str">
        <x:v>DERECHA</x:v>
      </x:c>
      <x:c r="B51" s="23" t="n">
        <x:v>5</x:v>
      </x:c>
      <x:c r="C51" s="23" t="str">
        <x:v>Mandarina</x:v>
      </x:c>
      <x:c r="D51" s="23" t="str">
        <x:v>mandarina</x:v>
      </x:c>
      <x:c r="E51" s="23" t="str">
        <x:v>CREAR_EN_APP</x:v>
      </x:c>
      <x:c r="F51" s="23" t="str"/>
      <x:c r="G51" s="23" t="str"/>
      <x:c r="H51" s="23" t="str"/>
      <x:c r="I51" s="23" t="str">
        <x:v>CAJA_A_KILO</x:v>
      </x:c>
      <x:c r="J51" s="106" t="n">
        <x:v>45</x:v>
      </x:c>
      <x:c r="K51" s="23" t="str">
        <x:v>CAJA</x:v>
      </x:c>
      <x:c r="L51" s="23" t="str">
        <x:v>KILO</x:v>
      </x:c>
      <x:c r="M51" s="23" t="str">
        <x:v>Caja default 11-12 kg. Margen sugerido 45%.</x:v>
      </x:c>
    </x:row>
    <x:row r="52">
      <x:c r="A52" s="23" t="str">
        <x:v>DERECHA</x:v>
      </x:c>
      <x:c r="B52" s="23" t="n">
        <x:v>6</x:v>
      </x:c>
      <x:c r="C52" s="23" t="str">
        <x:v>Mango</x:v>
      </x:c>
      <x:c r="D52" s="23" t="str">
        <x:v>mango</x:v>
      </x:c>
      <x:c r="E52" s="23" t="str">
        <x:v>CONECTADO</x:v>
      </x:c>
      <x:c r="F52" s="23" t="str">
        <x:v>Mango</x:v>
      </x:c>
      <x:c r="G52" s="23" t="str">
        <x:v>63c77d96-9483-412e-9bcc-d935093fea85</x:v>
      </x:c>
      <x:c r="H52" s="23" t="str"/>
      <x:c r="I52" s="23" t="str">
        <x:v>SIN_REGLA</x:v>
      </x:c>
      <x:c r="J52" s="106" t="n">
        <x:v>50</x:v>
      </x:c>
      <x:c r="K52" s="23" t="str">
        <x:v>KILO</x:v>
      </x:c>
      <x:c r="L52" s="23" t="str">
        <x:v>KILO</x:v>
      </x:c>
      <x:c r="M52" s="23" t="str">
        <x:v>Sin regla específica. Revisar manualmente.</x:v>
      </x:c>
    </x:row>
    <x:row r="53">
      <x:c r="A53" s="23" t="str">
        <x:v>DERECHA</x:v>
      </x:c>
      <x:c r="B53" s="23" t="n">
        <x:v>7</x:v>
      </x:c>
      <x:c r="C53" s="23" t="str">
        <x:v>Manzana Verde</x:v>
      </x:c>
      <x:c r="D53" s="23" t="str">
        <x:v>manzana_verde</x:v>
      </x:c>
      <x:c r="E53" s="23" t="str">
        <x:v>CONECTADO</x:v>
      </x:c>
      <x:c r="F53" s="23" t="str">
        <x:v>Manzana Verde</x:v>
      </x:c>
      <x:c r="G53" s="23" t="str">
        <x:v>bde2b5f0-a846-4e4d-9377-6a1408937849</x:v>
      </x:c>
      <x:c r="H53" s="23" t="str"/>
      <x:c r="I53" s="23" t="str">
        <x:v>BANDEJA_A_UNIDAD</x:v>
      </x:c>
      <x:c r="J53" s="106" t="n">
        <x:v>55</x:v>
      </x:c>
      <x:c r="K53" s="23" t="str">
        <x:v>UNIDAD</x:v>
      </x:c>
      <x:c r="L53" s="23" t="str">
        <x:v>UNIDAD</x:v>
      </x:c>
      <x:c r="M53" s="23" t="str">
        <x:v>Bandeja 22-24 unidades. Vende unidad.</x:v>
      </x:c>
    </x:row>
    <x:row r="54">
      <x:c r="A54" s="23" t="str">
        <x:v>DERECHA</x:v>
      </x:c>
      <x:c r="B54" s="23" t="n">
        <x:v>8</x:v>
      </x:c>
      <x:c r="C54" s="23" t="str">
        <x:v>Manzana Roja</x:v>
      </x:c>
      <x:c r="D54" s="23" t="str">
        <x:v>manzana_roja</x:v>
      </x:c>
      <x:c r="E54" s="23" t="str">
        <x:v>CREAR_EN_APP</x:v>
      </x:c>
      <x:c r="F54" s="23" t="str"/>
      <x:c r="G54" s="23" t="str"/>
      <x:c r="H54" s="23" t="str"/>
      <x:c r="I54" s="23" t="str">
        <x:v>BANDEJA_A_UNIDAD</x:v>
      </x:c>
      <x:c r="J54" s="106" t="n">
        <x:v>55</x:v>
      </x:c>
      <x:c r="K54" s="23" t="str">
        <x:v>UNIDAD</x:v>
      </x:c>
      <x:c r="L54" s="23" t="str">
        <x:v>UNIDAD</x:v>
      </x:c>
      <x:c r="M54" s="23" t="str">
        <x:v>Bandeja 22-24 unidades. Vende unidad.</x:v>
      </x:c>
    </x:row>
    <x:row r="55">
      <x:c r="A55" s="23" t="str">
        <x:v>DERECHA</x:v>
      </x:c>
      <x:c r="B55" s="23" t="n">
        <x:v>9</x:v>
      </x:c>
      <x:c r="C55" s="23" t="str">
        <x:v>Manzana Royale</x:v>
      </x:c>
      <x:c r="D55" s="23" t="str">
        <x:v>manzana_royale</x:v>
      </x:c>
      <x:c r="E55" s="23" t="str">
        <x:v>CONECTADO</x:v>
      </x:c>
      <x:c r="F55" s="23" t="str">
        <x:v>Manzana Royale</x:v>
      </x:c>
      <x:c r="G55" s="23" t="str">
        <x:v>faf31ba3-4f7f-4023-b64b-43d52be0f625</x:v>
      </x:c>
      <x:c r="H55" s="23" t="str"/>
      <x:c r="I55" s="23" t="str">
        <x:v>DIRECTO_UNIDAD</x:v>
      </x:c>
      <x:c r="J55" s="106" t="n">
        <x:v>50</x:v>
      </x:c>
      <x:c r="K55" s="23" t="str">
        <x:v>UNIDAD</x:v>
      </x:c>
      <x:c r="L55" s="23" t="str">
        <x:v>UNIDAD</x:v>
      </x:c>
      <x:c r="M55" s="23" t="str">
        <x:v>Venta por unidad. Margen sugerido 50%.</x:v>
      </x:c>
    </x:row>
    <x:row r="56">
      <x:c r="A56" s="23" t="str">
        <x:v>DERECHA</x:v>
      </x:c>
      <x:c r="B56" s="23" t="n">
        <x:v>10</x:v>
      </x:c>
      <x:c r="C56" s="23" t="str">
        <x:v>Maracuyá</x:v>
      </x:c>
      <x:c r="D56" s="23" t="str">
        <x:v>maracuya</x:v>
      </x:c>
      <x:c r="E56" s="23" t="str">
        <x:v>CREAR_EN_APP</x:v>
      </x:c>
      <x:c r="F56" s="23" t="str"/>
      <x:c r="G56" s="23" t="str"/>
      <x:c r="H56" s="23" t="str"/>
      <x:c r="I56" s="23" t="str">
        <x:v>SIN_REGLA</x:v>
      </x:c>
      <x:c r="J56" s="106" t="n">
        <x:v>50</x:v>
      </x:c>
      <x:c r="K56" s="23" t="str">
        <x:v>KILO</x:v>
      </x:c>
      <x:c r="L56" s="23" t="str">
        <x:v>KILO</x:v>
      </x:c>
      <x:c r="M56" s="23" t="str">
        <x:v>Sin regla específica. Revisar manualmente.</x:v>
      </x:c>
    </x:row>
    <x:row r="57">
      <x:c r="A57" s="23" t="str">
        <x:v>DERECHA</x:v>
      </x:c>
      <x:c r="B57" s="23" t="n">
        <x:v>11</x:v>
      </x:c>
      <x:c r="C57" s="23" t="str">
        <x:v>Melón</x:v>
      </x:c>
      <x:c r="D57" s="23" t="str">
        <x:v>melon</x:v>
      </x:c>
      <x:c r="E57" s="23" t="str">
        <x:v>CREAR_EN_APP</x:v>
      </x:c>
      <x:c r="F57" s="23" t="str"/>
      <x:c r="G57" s="23" t="str"/>
      <x:c r="H57" s="23" t="str"/>
      <x:c r="I57" s="23" t="str">
        <x:v>SIN_REGLA</x:v>
      </x:c>
      <x:c r="J57" s="106" t="n">
        <x:v>50</x:v>
      </x:c>
      <x:c r="K57" s="23" t="str">
        <x:v>KILO</x:v>
      </x:c>
      <x:c r="L57" s="23" t="str">
        <x:v>KILO</x:v>
      </x:c>
      <x:c r="M57" s="23" t="str">
        <x:v>Sin regla específica. Revisar manualmente.</x:v>
      </x:c>
    </x:row>
    <x:row r="58">
      <x:c r="A58" s="23" t="str">
        <x:v>DERECHA</x:v>
      </x:c>
      <x:c r="B58" s="23" t="n">
        <x:v>12</x:v>
      </x:c>
      <x:c r="C58" s="23" t="str">
        <x:v>Mazorca Bandeja</x:v>
      </x:c>
      <x:c r="D58" s="23" t="str">
        <x:v>mazorca_bandeja</x:v>
      </x:c>
      <x:c r="E58" s="23" t="str">
        <x:v>MULTI_FORMULA</x:v>
      </x:c>
      <x:c r="F58" s="23" t="str"/>
      <x:c r="G58" s="23" t="str"/>
      <x:c r="H58" s="23" t="str">
        <x:v>Mazorca, Mazorca por Unidad</x:v>
      </x:c>
      <x:c r="I58" s="23" t="str">
        <x:v>MULTI_FORMULA</x:v>
      </x:c>
      <x:c r="J58" s="106" t="n">
        <x:v>50</x:v>
      </x:c>
      <x:c r="K58" s="23" t="str">
        <x:v>KILO</x:v>
      </x:c>
      <x:c r="L58" s="23" t="str">
        <x:v>KILO</x:v>
      </x:c>
      <x:c r="M58" s="23" t="str">
        <x:v>Bandeja de 4 mazorcas. Puede actualizar Mazorca y Mazorca por Unidad.</x:v>
      </x:c>
    </x:row>
    <x:row r="59">
      <x:c r="A59" s="23" t="str">
        <x:v>DERECHA</x:v>
      </x:c>
      <x:c r="B59" s="23" t="n">
        <x:v>13</x:v>
      </x:c>
      <x:c r="C59" s="23" t="str">
        <x:v>Mora</x:v>
      </x:c>
      <x:c r="D59" s="23" t="str">
        <x:v>mora_fresca</x:v>
      </x:c>
      <x:c r="E59" s="23" t="str">
        <x:v>CREAR_FRUTA_FRESCA</x:v>
      </x:c>
      <x:c r="F59" s="23" t="str">
        <x:v>Mora (fruta fresca)</x:v>
      </x:c>
      <x:c r="G59" s="23" t="str"/>
      <x:c r="H59" s="23" t="str"/>
      <x:c r="I59" s="23" t="str">
        <x:v>CAJA_A_PAQUETE</x:v>
      </x:c>
      <x:c r="J59" s="106" t="n">
        <x:v>50</x:v>
      </x:c>
      <x:c r="K59" s="23" t="str">
        <x:v>CAJA</x:v>
      </x:c>
      <x:c r="L59" s="23" t="str">
        <x:v>PAQUETE</x:v>
      </x:c>
      <x:c r="M59" s="23" t="str">
        <x:v>Fruta fresca. Caja trae 10 paquetes. No conectar a pulpa.</x:v>
      </x:c>
    </x:row>
    <x:row r="60">
      <x:c r="A60" s="23" t="str">
        <x:v>DERECHA</x:v>
      </x:c>
      <x:c r="B60" s="23" t="n">
        <x:v>14</x:v>
      </x:c>
      <x:c r="C60" s="23" t="str">
        <x:v>Naranja</x:v>
      </x:c>
      <x:c r="D60" s="23" t="str">
        <x:v>naranja</x:v>
      </x:c>
      <x:c r="E60" s="23" t="str">
        <x:v>CREAR_EN_APP</x:v>
      </x:c>
      <x:c r="F60" s="23" t="str"/>
      <x:c r="G60" s="23" t="str"/>
      <x:c r="H60" s="23" t="str"/>
      <x:c r="I60" s="23" t="str">
        <x:v>SIN_REGLA</x:v>
      </x:c>
      <x:c r="J60" s="106" t="n">
        <x:v>50</x:v>
      </x:c>
      <x:c r="K60" s="23" t="str">
        <x:v>KILO</x:v>
      </x:c>
      <x:c r="L60" s="23" t="str">
        <x:v>KILO</x:v>
      </x:c>
      <x:c r="M60" s="23" t="str">
        <x:v>Sin regla específica. Revisar manualmente.</x:v>
      </x:c>
    </x:row>
    <x:row r="61">
      <x:c r="A61" s="23" t="str">
        <x:v>DERECHA</x:v>
      </x:c>
      <x:c r="B61" s="23" t="n">
        <x:v>15</x:v>
      </x:c>
      <x:c r="C61" s="23" t="str">
        <x:v>Panela Pastilla</x:v>
      </x:c>
      <x:c r="D61" s="23" t="str">
        <x:v>panela_pastilla</x:v>
      </x:c>
      <x:c r="E61" s="23" t="str">
        <x:v>CREAR_EN_APP</x:v>
      </x:c>
      <x:c r="F61" s="23" t="str"/>
      <x:c r="G61" s="23" t="str"/>
      <x:c r="H61" s="23" t="str"/>
      <x:c r="I61" s="23" t="str">
        <x:v>SIN_REGLA</x:v>
      </x:c>
      <x:c r="J61" s="106" t="n">
        <x:v>50</x:v>
      </x:c>
      <x:c r="K61" s="23" t="str">
        <x:v>KILO</x:v>
      </x:c>
      <x:c r="L61" s="23" t="str">
        <x:v>KILO</x:v>
      </x:c>
      <x:c r="M61" s="23" t="str">
        <x:v>Sin regla específica. Revisar manualmente.</x:v>
      </x:c>
    </x:row>
    <x:row r="62">
      <x:c r="A62" s="23" t="str">
        <x:v>DERECHA</x:v>
      </x:c>
      <x:c r="B62" s="23" t="n">
        <x:v>16</x:v>
      </x:c>
      <x:c r="C62" s="23" t="str">
        <x:v>Panelón</x:v>
      </x:c>
      <x:c r="D62" s="23" t="str">
        <x:v>panelon</x:v>
      </x:c>
      <x:c r="E62" s="23" t="str">
        <x:v>CREAR_EN_APP</x:v>
      </x:c>
      <x:c r="F62" s="23" t="str"/>
      <x:c r="G62" s="23" t="str"/>
      <x:c r="H62" s="23" t="str"/>
      <x:c r="I62" s="23" t="str">
        <x:v>SIN_REGLA</x:v>
      </x:c>
      <x:c r="J62" s="106" t="n">
        <x:v>50</x:v>
      </x:c>
      <x:c r="K62" s="23" t="str">
        <x:v>KILO</x:v>
      </x:c>
      <x:c r="L62" s="23" t="str">
        <x:v>KILO</x:v>
      </x:c>
      <x:c r="M62" s="23" t="str">
        <x:v>Sin regla específica. Revisar manualmente.</x:v>
      </x:c>
    </x:row>
    <x:row r="63">
      <x:c r="A63" s="23" t="str">
        <x:v>DERECHA</x:v>
      </x:c>
      <x:c r="B63" s="23" t="n">
        <x:v>17</x:v>
      </x:c>
      <x:c r="C63" s="23" t="str">
        <x:v>Papa Criolla</x:v>
      </x:c>
      <x:c r="D63" s="23" t="str">
        <x:v>papa_criolla</x:v>
      </x:c>
      <x:c r="E63" s="23" t="str">
        <x:v>CREAR_EN_APP</x:v>
      </x:c>
      <x:c r="F63" s="23" t="str"/>
      <x:c r="G63" s="23" t="str"/>
      <x:c r="H63" s="23" t="str"/>
      <x:c r="I63" s="23" t="str">
        <x:v>DIRECTO_KILO</x:v>
      </x:c>
      <x:c r="J63" s="106" t="n">
        <x:v>50</x:v>
      </x:c>
      <x:c r="K63" s="23" t="str">
        <x:v>KILO</x:v>
      </x:c>
      <x:c r="L63" s="23" t="str">
        <x:v>KILO</x:v>
      </x:c>
      <x:c r="M63" s="23" t="str">
        <x:v>Compra kilo. Margen sugerido 50%.</x:v>
      </x:c>
    </x:row>
    <x:row r="64">
      <x:c r="A64" s="23" t="str">
        <x:v>DERECHA</x:v>
      </x:c>
      <x:c r="B64" s="23" t="n">
        <x:v>18</x:v>
      </x:c>
      <x:c r="C64" s="23" t="str">
        <x:v>Papa Gruesa</x:v>
      </x:c>
      <x:c r="D64" s="23" t="str">
        <x:v>papa_pastusa</x:v>
      </x:c>
      <x:c r="E64" s="23" t="str">
        <x:v>CONECTADO_CON_CORRECCION</x:v>
      </x:c>
      <x:c r="F64" s="23" t="str">
        <x:v>Papa Pastusa</x:v>
      </x:c>
      <x:c r="G64" s="23" t="str">
        <x:v>86ec6278-4056-4cce-a4c5-23b3853e5221</x:v>
      </x:c>
      <x:c r="H64" s="23" t="str"/>
      <x:c r="I64" s="23" t="str">
        <x:v>BULTO_A_KILO</x:v>
      </x:c>
      <x:c r="J64" s="106" t="n">
        <x:v>40</x:v>
      </x:c>
      <x:c r="K64" s="23" t="str">
        <x:v>BULTO</x:v>
      </x:c>
      <x:c r="L64" s="23" t="str">
        <x:v>KILO</x:v>
      </x:c>
      <x:c r="M64" s="23" t="str">
        <x:v>Papa gruesa = Papa Pastusa. Bulto default 45-50 kg.</x:v>
      </x:c>
    </x:row>
    <x:row r="65">
      <x:c r="A65" s="23" t="str">
        <x:v>DERECHA</x:v>
      </x:c>
      <x:c r="B65" s="23" t="n">
        <x:v>19</x:v>
      </x:c>
      <x:c r="C65" s="23" t="str">
        <x:v>Papa Cero</x:v>
      </x:c>
      <x:c r="D65" s="23" t="str">
        <x:v>papa_cero</x:v>
      </x:c>
      <x:c r="E65" s="23" t="str">
        <x:v>CREAR_EN_APP</x:v>
      </x:c>
      <x:c r="F65" s="23" t="str"/>
      <x:c r="G65" s="23" t="str"/>
      <x:c r="H65" s="23" t="str"/>
      <x:c r="I65" s="23" t="str">
        <x:v>SIN_REGLA</x:v>
      </x:c>
      <x:c r="J65" s="106" t="n">
        <x:v>50</x:v>
      </x:c>
      <x:c r="K65" s="23" t="str">
        <x:v>KILO</x:v>
      </x:c>
      <x:c r="L65" s="23" t="str">
        <x:v>KILO</x:v>
      </x:c>
      <x:c r="M65" s="23" t="str">
        <x:v>Sin regla específica. Revisar manualmente.</x:v>
      </x:c>
    </x:row>
    <x:row r="66">
      <x:c r="A66" s="23" t="str">
        <x:v>DERECHA</x:v>
      </x:c>
      <x:c r="B66" s="23" t="n">
        <x:v>20</x:v>
      </x:c>
      <x:c r="C66" s="23" t="str">
        <x:v>Papa Pareja</x:v>
      </x:c>
      <x:c r="D66" s="23" t="str">
        <x:v>papa_pareja</x:v>
      </x:c>
      <x:c r="E66" s="23" t="str">
        <x:v>CREAR_EN_APP</x:v>
      </x:c>
      <x:c r="F66" s="23" t="str"/>
      <x:c r="G66" s="23" t="str"/>
      <x:c r="H66" s="23" t="str"/>
      <x:c r="I66" s="23" t="str">
        <x:v>SIN_REGLA</x:v>
      </x:c>
      <x:c r="J66" s="106" t="n">
        <x:v>50</x:v>
      </x:c>
      <x:c r="K66" s="23" t="str">
        <x:v>KILO</x:v>
      </x:c>
      <x:c r="L66" s="23" t="str">
        <x:v>KILO</x:v>
      </x:c>
      <x:c r="M66" s="23" t="str">
        <x:v>Sin regla específica. Revisar manualmente.</x:v>
      </x:c>
    </x:row>
    <x:row r="67">
      <x:c r="A67" s="23" t="str">
        <x:v>DERECHA</x:v>
      </x:c>
      <x:c r="B67" s="23" t="n">
        <x:v>21</x:v>
      </x:c>
      <x:c r="C67" s="23" t="str">
        <x:v>Papaya</x:v>
      </x:c>
      <x:c r="D67" s="23" t="str">
        <x:v>papaya</x:v>
      </x:c>
      <x:c r="E67" s="23" t="str">
        <x:v>CONECTADO</x:v>
      </x:c>
      <x:c r="F67" s="23" t="str">
        <x:v>Papaya</x:v>
      </x:c>
      <x:c r="G67" s="23" t="str">
        <x:v>405bcebd-2475-4423-a5d3-451c1cfd1ff0</x:v>
      </x:c>
      <x:c r="H67" s="23" t="str"/>
      <x:c r="I67" s="23" t="str">
        <x:v>DIRECTO_KILO</x:v>
      </x:c>
      <x:c r="J67" s="106" t="n">
        <x:v>40</x:v>
      </x:c>
      <x:c r="K67" s="23" t="str">
        <x:v>KILO</x:v>
      </x:c>
      <x:c r="L67" s="23" t="str">
        <x:v>KILO</x:v>
      </x:c>
      <x:c r="M67" s="23" t="str">
        <x:v>Compra kilo, vende kilo. Margen sugerido 40%.</x:v>
      </x:c>
    </x:row>
    <x:row r="68">
      <x:c r="A68" s="23" t="str">
        <x:v>DERECHA</x:v>
      </x:c>
      <x:c r="B68" s="23" t="n">
        <x:v>22</x:v>
      </x:c>
      <x:c r="C68" s="23" t="str">
        <x:v>Patilla</x:v>
      </x:c>
      <x:c r="D68" s="23" t="str">
        <x:v>patilla</x:v>
      </x:c>
      <x:c r="E68" s="23" t="str">
        <x:v>CREAR_EN_APP</x:v>
      </x:c>
      <x:c r="F68" s="23" t="str"/>
      <x:c r="G68" s="23" t="str"/>
      <x:c r="H68" s="23" t="str"/>
      <x:c r="I68" s="23" t="str">
        <x:v>SIN_REGLA</x:v>
      </x:c>
      <x:c r="J68" s="106" t="n">
        <x:v>50</x:v>
      </x:c>
      <x:c r="K68" s="23" t="str">
        <x:v>KILO</x:v>
      </x:c>
      <x:c r="L68" s="23" t="str">
        <x:v>KILO</x:v>
      </x:c>
      <x:c r="M68" s="23" t="str">
        <x:v>Sin regla específica. Revisar manualmente.</x:v>
      </x:c>
    </x:row>
    <x:row r="69">
      <x:c r="A69" s="23" t="str">
        <x:v>DERECHA</x:v>
      </x:c>
      <x:c r="B69" s="23" t="n">
        <x:v>23</x:v>
      </x:c>
      <x:c r="C69" s="23" t="str">
        <x:v>Pepino de Guiso</x:v>
      </x:c>
      <x:c r="D69" s="23" t="str">
        <x:v>pepino_de_guiso</x:v>
      </x:c>
      <x:c r="E69" s="23" t="str">
        <x:v>CREAR_EN_APP</x:v>
      </x:c>
      <x:c r="F69" s="23" t="str"/>
      <x:c r="G69" s="23" t="str"/>
      <x:c r="H69" s="23" t="str"/>
      <x:c r="I69" s="23" t="str">
        <x:v>SIN_REGLA</x:v>
      </x:c>
      <x:c r="J69" s="106" t="n">
        <x:v>50</x:v>
      </x:c>
      <x:c r="K69" s="23" t="str">
        <x:v>KILO</x:v>
      </x:c>
      <x:c r="L69" s="23" t="str">
        <x:v>KILO</x:v>
      </x:c>
      <x:c r="M69" s="23" t="str">
        <x:v>Sin regla específica. Revisar manualmente.</x:v>
      </x:c>
    </x:row>
    <x:row r="70">
      <x:c r="A70" s="23" t="str">
        <x:v>DERECHA</x:v>
      </x:c>
      <x:c r="B70" s="23" t="n">
        <x:v>24</x:v>
      </x:c>
      <x:c r="C70" s="23" t="str">
        <x:v>Pepino Cohombro</x:v>
      </x:c>
      <x:c r="D70" s="23" t="str">
        <x:v>pepino_cohombro</x:v>
      </x:c>
      <x:c r="E70" s="23" t="str">
        <x:v>CONECTADO</x:v>
      </x:c>
      <x:c r="F70" s="23" t="str">
        <x:v>Pepino Cohombro</x:v>
      </x:c>
      <x:c r="G70" s="23" t="str">
        <x:v>36783dd4-17bb-4e1c-861b-2b4799d74e78</x:v>
      </x:c>
      <x:c r="H70" s="23" t="str"/>
      <x:c r="I70" s="23" t="str">
        <x:v>DIRECTO_KILO</x:v>
      </x:c>
      <x:c r="J70" s="106" t="n">
        <x:v>45</x:v>
      </x:c>
      <x:c r="K70" s="23" t="str">
        <x:v>KILO</x:v>
      </x:c>
      <x:c r="L70" s="23" t="str">
        <x:v>KILO</x:v>
      </x:c>
      <x:c r="M70" s="23" t="str">
        <x:v>Compra kilo, vende kilo. Margen sugerido 45%.</x:v>
      </x:c>
    </x:row>
    <x:row r="71">
      <x:c r="A71" s="23" t="str">
        <x:v>DERECHA</x:v>
      </x:c>
      <x:c r="B71" s="23" t="n">
        <x:v>25</x:v>
      </x:c>
      <x:c r="C71" s="23" t="str">
        <x:v>Pera</x:v>
      </x:c>
      <x:c r="D71" s="23" t="str">
        <x:v>pera</x:v>
      </x:c>
      <x:c r="E71" s="23" t="str">
        <x:v>CREAR_EN_APP</x:v>
      </x:c>
      <x:c r="F71" s="23" t="str"/>
      <x:c r="G71" s="23" t="str"/>
      <x:c r="H71" s="23" t="str"/>
      <x:c r="I71" s="23" t="str">
        <x:v>SIN_REGLA</x:v>
      </x:c>
      <x:c r="J71" s="106" t="n">
        <x:v>50</x:v>
      </x:c>
      <x:c r="K71" s="23" t="str">
        <x:v>KILO</x:v>
      </x:c>
      <x:c r="L71" s="23" t="str">
        <x:v>KILO</x:v>
      </x:c>
      <x:c r="M71" s="23" t="str">
        <x:v>Sin regla específica. Revisar manualmente.</x:v>
      </x:c>
    </x:row>
    <x:row r="72">
      <x:c r="A72" s="23" t="str">
        <x:v>DERECHA</x:v>
      </x:c>
      <x:c r="B72" s="23" t="n">
        <x:v>26</x:v>
      </x:c>
      <x:c r="C72" s="23" t="str">
        <x:v>Perejil</x:v>
      </x:c>
      <x:c r="D72" s="23" t="str">
        <x:v>perejil</x:v>
      </x:c>
      <x:c r="E72" s="23" t="str">
        <x:v>CONECTADO</x:v>
      </x:c>
      <x:c r="F72" s="23" t="str">
        <x:v>Perejil</x:v>
      </x:c>
      <x:c r="G72" s="23" t="str">
        <x:v>772aadb0-4776-4083-b2af-e9322e58ee54</x:v>
      </x:c>
      <x:c r="H72" s="23" t="str"/>
      <x:c r="I72" s="23" t="str">
        <x:v>DIRECTO_KILO</x:v>
      </x:c>
      <x:c r="J72" s="106" t="n">
        <x:v>60</x:v>
      </x:c>
      <x:c r="K72" s="23" t="str">
        <x:v>KILO</x:v>
      </x:c>
      <x:c r="L72" s="23" t="str">
        <x:v>KILO</x:v>
      </x:c>
      <x:c r="M72" s="23" t="str">
        <x:v>Compra kilo, vende kilo. Margen sugerido 60%.</x:v>
      </x:c>
    </x:row>
    <x:row r="73">
      <x:c r="A73" s="23" t="str">
        <x:v>DERECHA</x:v>
      </x:c>
      <x:c r="B73" s="23" t="n">
        <x:v>27</x:v>
      </x:c>
      <x:c r="C73" s="23" t="str">
        <x:v>Pimentón</x:v>
      </x:c>
      <x:c r="D73" s="23" t="str">
        <x:v>pimenton</x:v>
      </x:c>
      <x:c r="E73" s="23" t="str">
        <x:v>CONECTADO</x:v>
      </x:c>
      <x:c r="F73" s="23" t="str">
        <x:v>Pimentón</x:v>
      </x:c>
      <x:c r="G73" s="23" t="str">
        <x:v>b33dfb4d-051a-4483-9317-886d7af749ea</x:v>
      </x:c>
      <x:c r="H73" s="23" t="str"/>
      <x:c r="I73" s="23" t="str">
        <x:v>DIRECTO_KILO</x:v>
      </x:c>
      <x:c r="J73" s="106" t="n">
        <x:v>50</x:v>
      </x:c>
      <x:c r="K73" s="23" t="str">
        <x:v>KILO</x:v>
      </x:c>
      <x:c r="L73" s="23" t="str">
        <x:v>KILO</x:v>
      </x:c>
      <x:c r="M73" s="23" t="str">
        <x:v>Compra kilo, vende kilo. Margen sugerido 50%.</x:v>
      </x:c>
    </x:row>
    <x:row r="74">
      <x:c r="A74" s="23" t="str">
        <x:v>DERECHA</x:v>
      </x:c>
      <x:c r="B74" s="23" t="n">
        <x:v>28</x:v>
      </x:c>
      <x:c r="C74" s="23" t="str">
        <x:v>Piña</x:v>
      </x:c>
      <x:c r="D74" s="23" t="str">
        <x:v>pina</x:v>
      </x:c>
      <x:c r="E74" s="23" t="str">
        <x:v>CREAR_EN_APP</x:v>
      </x:c>
      <x:c r="F74" s="23" t="str"/>
      <x:c r="G74" s="23" t="str"/>
      <x:c r="H74" s="23" t="str"/>
      <x:c r="I74" s="23" t="str">
        <x:v>SIN_REGLA</x:v>
      </x:c>
      <x:c r="J74" s="106" t="n">
        <x:v>50</x:v>
      </x:c>
      <x:c r="K74" s="23" t="str">
        <x:v>KILO</x:v>
      </x:c>
      <x:c r="L74" s="23" t="str">
        <x:v>KILO</x:v>
      </x:c>
      <x:c r="M74" s="23" t="str">
        <x:v>Sin regla específica. Revisar manualmente.</x:v>
      </x:c>
    </x:row>
    <x:row r="75">
      <x:c r="A75" s="23" t="str">
        <x:v>DERECHA</x:v>
      </x:c>
      <x:c r="B75" s="23" t="n">
        <x:v>29</x:v>
      </x:c>
      <x:c r="C75" s="23" t="str">
        <x:v>Plátano</x:v>
      </x:c>
      <x:c r="D75" s="23" t="str">
        <x:v>platano_verde</x:v>
      </x:c>
      <x:c r="E75" s="23" t="str">
        <x:v>CONECTADO_VINCULADO</x:v>
      </x:c>
      <x:c r="F75" s="23" t="str">
        <x:v>Plátano Verde</x:v>
      </x:c>
      <x:c r="G75" s="23" t="str">
        <x:v>e8adfefb-93f6-4d79-a3fd-e0f3435c619f</x:v>
      </x:c>
      <x:c r="H75" s="23" t="str">
        <x:v>Plátano Maduro</x:v>
      </x:c>
      <x:c r="I75" s="23" t="str">
        <x:v>DIRECTO_KILO_VINCULADO</x:v>
      </x:c>
      <x:c r="J75" s="106" t="n">
        <x:v>40</x:v>
      </x:c>
      <x:c r="K75" s="23" t="str">
        <x:v>KILO</x:v>
      </x:c>
      <x:c r="L75" s="23" t="str">
        <x:v>KILO</x:v>
      </x:c>
      <x:c r="M75" s="23" t="str">
        <x:v>Plátano = Plátano Verde. También actualiza Plátano Maduro al mismo precio.</x:v>
      </x:c>
    </x:row>
    <x:row r="76">
      <x:c r="A76" s="23" t="str">
        <x:v>DERECHA</x:v>
      </x:c>
      <x:c r="B76" s="23" t="n">
        <x:v>30</x:v>
      </x:c>
      <x:c r="C76" s="23" t="str">
        <x:v>Rábanos</x:v>
      </x:c>
      <x:c r="D76" s="23" t="str">
        <x:v>rabanos</x:v>
      </x:c>
      <x:c r="E76" s="23" t="str">
        <x:v>CREAR_EN_APP</x:v>
      </x:c>
      <x:c r="F76" s="23" t="str"/>
      <x:c r="G76" s="23" t="str"/>
      <x:c r="H76" s="23" t="str"/>
      <x:c r="I76" s="23" t="str">
        <x:v>SIN_REGLA</x:v>
      </x:c>
      <x:c r="J76" s="106" t="n">
        <x:v>50</x:v>
      </x:c>
      <x:c r="K76" s="23" t="str">
        <x:v>KILO</x:v>
      </x:c>
      <x:c r="L76" s="23" t="str">
        <x:v>KILO</x:v>
      </x:c>
      <x:c r="M76" s="23" t="str">
        <x:v>Sin regla específica. Revisar manualmente.</x:v>
      </x:c>
    </x:row>
    <x:row r="77">
      <x:c r="A77" s="23" t="str">
        <x:v>DERECHA</x:v>
      </x:c>
      <x:c r="B77" s="23" t="n">
        <x:v>31</x:v>
      </x:c>
      <x:c r="C77" s="23" t="str">
        <x:v>Remolacha</x:v>
      </x:c>
      <x:c r="D77" s="23" t="str">
        <x:v>remolacha</x:v>
      </x:c>
      <x:c r="E77" s="23" t="str">
        <x:v>CREAR_EN_APP</x:v>
      </x:c>
      <x:c r="F77" s="23" t="str"/>
      <x:c r="G77" s="23" t="str"/>
      <x:c r="H77" s="23" t="str"/>
      <x:c r="I77" s="23" t="str">
        <x:v>DIRECTO_KILO</x:v>
      </x:c>
      <x:c r="J77" s="106" t="n">
        <x:v>40</x:v>
      </x:c>
      <x:c r="K77" s="23" t="str">
        <x:v>KILO</x:v>
      </x:c>
      <x:c r="L77" s="23" t="str">
        <x:v>KILO</x:v>
      </x:c>
      <x:c r="M77" s="23" t="str">
        <x:v>Compra kilo, vende kilo. Margen sugerido 40%.</x:v>
      </x:c>
    </x:row>
    <x:row r="78">
      <x:c r="A78" s="23" t="str">
        <x:v>DERECHA</x:v>
      </x:c>
      <x:c r="B78" s="23" t="n">
        <x:v>32</x:v>
      </x:c>
      <x:c r="C78" s="23" t="str">
        <x:v>Repollo</x:v>
      </x:c>
      <x:c r="D78" s="23" t="str">
        <x:v>repollo</x:v>
      </x:c>
      <x:c r="E78" s="23" t="str">
        <x:v>CREAR_EN_APP</x:v>
      </x:c>
      <x:c r="F78" s="23" t="str"/>
      <x:c r="G78" s="23" t="str"/>
      <x:c r="H78" s="23" t="str"/>
      <x:c r="I78" s="23" t="str">
        <x:v>DIRECTO_KILO</x:v>
      </x:c>
      <x:c r="J78" s="106" t="n">
        <x:v>40</x:v>
      </x:c>
      <x:c r="K78" s="23" t="str">
        <x:v>KILO</x:v>
      </x:c>
      <x:c r="L78" s="23" t="str">
        <x:v>KILO</x:v>
      </x:c>
      <x:c r="M78" s="23" t="str">
        <x:v>Compra kilo, vende kilo. Margen sugerido 40%.</x:v>
      </x:c>
    </x:row>
    <x:row r="79">
      <x:c r="A79" s="23" t="str">
        <x:v>DERECHA</x:v>
      </x:c>
      <x:c r="B79" s="23" t="n">
        <x:v>33</x:v>
      </x:c>
      <x:c r="C79" s="23" t="str">
        <x:v>Tomate Chonto Grueso</x:v>
      </x:c>
      <x:c r="D79" s="23" t="str">
        <x:v>tomate_chonto</x:v>
      </x:c>
      <x:c r="E79" s="23" t="str">
        <x:v>CONECTADO_CON_CORRECCION</x:v>
      </x:c>
      <x:c r="F79" s="23" t="str">
        <x:v>Tomate Chonto</x:v>
      </x:c>
      <x:c r="G79" s="23" t="str">
        <x:v>c4d17a15-6b61-4687-9cd7-2983ee1b2b6d</x:v>
      </x:c>
      <x:c r="H79" s="23" t="str"/>
      <x:c r="I79" s="23" t="str">
        <x:v>CAJA_A_KILO</x:v>
      </x:c>
      <x:c r="J79" s="106" t="n">
        <x:v>45</x:v>
      </x:c>
      <x:c r="K79" s="23" t="str">
        <x:v>CAJA</x:v>
      </x:c>
      <x:c r="L79" s="23" t="str">
        <x:v>KILO</x:v>
      </x:c>
      <x:c r="M79" s="23" t="str">
        <x:v>Caja default 22 kg. Margen sugerido 45%.</x:v>
      </x:c>
    </x:row>
    <x:row r="80">
      <x:c r="A80" s="23" t="str">
        <x:v>DERECHA</x:v>
      </x:c>
      <x:c r="B80" s="23" t="n">
        <x:v>34</x:v>
      </x:c>
      <x:c r="C80" s="23" t="str">
        <x:v>Tomate Semi</x:v>
      </x:c>
      <x:c r="D80" s="23" t="str">
        <x:v>tomate_semi</x:v>
      </x:c>
      <x:c r="E80" s="23" t="str">
        <x:v>CREAR_EN_APP</x:v>
      </x:c>
      <x:c r="F80" s="23" t="str"/>
      <x:c r="G80" s="23" t="str"/>
      <x:c r="H80" s="23" t="str"/>
      <x:c r="I80" s="23" t="str">
        <x:v>SIN_REGLA</x:v>
      </x:c>
      <x:c r="J80" s="106" t="n">
        <x:v>50</x:v>
      </x:c>
      <x:c r="K80" s="23" t="str">
        <x:v>KILO</x:v>
      </x:c>
      <x:c r="L80" s="23" t="str">
        <x:v>KILO</x:v>
      </x:c>
      <x:c r="M80" s="23" t="str">
        <x:v>Sin regla específica. Revisar manualmente.</x:v>
      </x:c>
    </x:row>
    <x:row r="81">
      <x:c r="A81" s="23" t="str">
        <x:v>DERECHA</x:v>
      </x:c>
      <x:c r="B81" s="23" t="n">
        <x:v>35</x:v>
      </x:c>
      <x:c r="C81" s="23" t="str">
        <x:v>Tomate de Árbol</x:v>
      </x:c>
      <x:c r="D81" s="23" t="str">
        <x:v>tomate_arbol_fresco</x:v>
      </x:c>
      <x:c r="E81" s="23" t="str">
        <x:v>CREAR_FRUTA_FRESCA</x:v>
      </x:c>
      <x:c r="F81" s="23" t="str">
        <x:v>Tomate de Árbol (fruta fresca)</x:v>
      </x:c>
      <x:c r="G81" s="23" t="str"/>
      <x:c r="H81" s="23" t="str"/>
      <x:c r="I81" s="23" t="str">
        <x:v>CAJA_A_KILO</x:v>
      </x:c>
      <x:c r="J81" s="106" t="n">
        <x:v>50</x:v>
      </x:c>
      <x:c r="K81" s="23" t="str">
        <x:v>CAJA</x:v>
      </x:c>
      <x:c r="L81" s="23" t="str">
        <x:v>KILO</x:v>
      </x:c>
      <x:c r="M81" s="23" t="str">
        <x:v>Fruta fresca. Caja default 11-12 kg. No conectar a pulpa.</x:v>
      </x:c>
    </x:row>
    <x:row r="82">
      <x:c r="A82" s="23" t="str">
        <x:v>DERECHA</x:v>
      </x:c>
      <x:c r="B82" s="23" t="n">
        <x:v>36</x:v>
      </x:c>
      <x:c r="C82" s="23" t="str">
        <x:v>Tomillo y Laurel</x:v>
      </x:c>
      <x:c r="D82" s="23" t="str">
        <x:v>tomillo_y_laurel</x:v>
      </x:c>
      <x:c r="E82" s="23" t="str">
        <x:v>CREAR_EN_APP</x:v>
      </x:c>
      <x:c r="F82" s="23" t="str"/>
      <x:c r="G82" s="23" t="str"/>
      <x:c r="H82" s="23" t="str"/>
      <x:c r="I82" s="23" t="str">
        <x:v>SIN_REGLA</x:v>
      </x:c>
      <x:c r="J82" s="106" t="n">
        <x:v>50</x:v>
      </x:c>
      <x:c r="K82" s="23" t="str">
        <x:v>KILO</x:v>
      </x:c>
      <x:c r="L82" s="23" t="str">
        <x:v>KILO</x:v>
      </x:c>
      <x:c r="M82" s="23" t="str">
        <x:v>Sin regla específica. Revisar manualmente.</x:v>
      </x:c>
    </x:row>
    <x:row r="83">
      <x:c r="A83" s="23" t="str">
        <x:v>DERECHA</x:v>
      </x:c>
      <x:c r="B83" s="23" t="n">
        <x:v>37</x:v>
      </x:c>
      <x:c r="C83" s="23" t="str">
        <x:v>Uchubas</x:v>
      </x:c>
      <x:c r="D83" s="23" t="str">
        <x:v>uchubas</x:v>
      </x:c>
      <x:c r="E83" s="23" t="str">
        <x:v>CREAR_EN_APP</x:v>
      </x:c>
      <x:c r="F83" s="23" t="str"/>
      <x:c r="G83" s="23" t="str"/>
      <x:c r="H83" s="23" t="str"/>
      <x:c r="I83" s="23" t="str">
        <x:v>SIN_REGLA</x:v>
      </x:c>
      <x:c r="J83" s="106" t="n">
        <x:v>50</x:v>
      </x:c>
      <x:c r="K83" s="23" t="str">
        <x:v>KILO</x:v>
      </x:c>
      <x:c r="L83" s="23" t="str">
        <x:v>KILO</x:v>
      </x:c>
      <x:c r="M83" s="23" t="str">
        <x:v>Sin regla específica. Revisar manualmente.</x:v>
      </x:c>
    </x:row>
    <x:row r="84">
      <x:c r="A84" s="23" t="str">
        <x:v>DERECHA</x:v>
      </x:c>
      <x:c r="B84" s="23" t="n">
        <x:v>38</x:v>
      </x:c>
      <x:c r="C84" s="23" t="str">
        <x:v>Uva Isabella</x:v>
      </x:c>
      <x:c r="D84" s="23" t="str">
        <x:v>uva_isabella</x:v>
      </x:c>
      <x:c r="E84" s="23" t="str">
        <x:v>CONECTADO</x:v>
      </x:c>
      <x:c r="F84" s="23" t="str">
        <x:v>Uva Isabella</x:v>
      </x:c>
      <x:c r="G84" s="23" t="str">
        <x:v>53f5d363-ae7d-4a69-8bc2-82ad2cb82e55</x:v>
      </x:c>
      <x:c r="H84" s="23" t="str"/>
      <x:c r="I84" s="23" t="str">
        <x:v>DIRECTO_BANDEJA</x:v>
      </x:c>
      <x:c r="J84" s="106" t="n">
        <x:v>50</x:v>
      </x:c>
      <x:c r="K84" s="23" t="str">
        <x:v>BANDEJA</x:v>
      </x:c>
      <x:c r="L84" s="23" t="str">
        <x:v>BANDEJA</x:v>
      </x:c>
      <x:c r="M84" s="23" t="str">
        <x:v>Compra bandeja, vende bandeja. Margen 50%.</x:v>
      </x:c>
    </x:row>
    <x:row r="85">
      <x:c r="A85" s="23" t="str">
        <x:v>DERECHA</x:v>
      </x:c>
      <x:c r="B85" s="23" t="n">
        <x:v>39</x:v>
      </x:c>
      <x:c r="C85" s="23" t="str">
        <x:v>Uva Combinada</x:v>
      </x:c>
      <x:c r="D85" s="23" t="str">
        <x:v>uva_combinada</x:v>
      </x:c>
      <x:c r="E85" s="23" t="str">
        <x:v>CREAR_EN_APP</x:v>
      </x:c>
      <x:c r="F85" s="23" t="str"/>
      <x:c r="G85" s="23" t="str"/>
      <x:c r="H85" s="23" t="str"/>
      <x:c r="I85" s="23" t="str">
        <x:v>DIRECTO_BANDEJA</x:v>
      </x:c>
      <x:c r="J85" s="106" t="n">
        <x:v>50</x:v>
      </x:c>
      <x:c r="K85" s="23" t="str">
        <x:v>BANDEJA</x:v>
      </x:c>
      <x:c r="L85" s="23" t="str">
        <x:v>BANDEJA</x:v>
      </x:c>
      <x:c r="M85" s="23" t="str">
        <x:v>Compra bandeja, vende bandeja. Margen 50%.</x:v>
      </x:c>
    </x:row>
    <x:row r="86">
      <x:c r="A86" s="23" t="str">
        <x:v>DERECHA</x:v>
      </x:c>
      <x:c r="B86" s="23" t="n">
        <x:v>40</x:v>
      </x:c>
      <x:c r="C86" s="23" t="str">
        <x:v>Uva Chilena</x:v>
      </x:c>
      <x:c r="D86" s="23" t="str">
        <x:v>uva_chilena</x:v>
      </x:c>
      <x:c r="E86" s="23" t="str">
        <x:v>CREAR_EN_APP</x:v>
      </x:c>
      <x:c r="F86" s="23" t="str"/>
      <x:c r="G86" s="23" t="str"/>
      <x:c r="H86" s="23" t="str"/>
      <x:c r="I86" s="23" t="str">
        <x:v>SIN_REGLA</x:v>
      </x:c>
      <x:c r="J86" s="106" t="n">
        <x:v>50</x:v>
      </x:c>
      <x:c r="K86" s="23" t="str">
        <x:v>KILO</x:v>
      </x:c>
      <x:c r="L86" s="23" t="str">
        <x:v>KILO</x:v>
      </x:c>
      <x:c r="M86" s="23" t="str">
        <x:v>Sin regla específica. Revisar manualmente.</x:v>
      </x:c>
    </x:row>
    <x:row r="87">
      <x:c r="A87" s="23" t="str">
        <x:v>DERECHA</x:v>
      </x:c>
      <x:c r="B87" s="23" t="n">
        <x:v>41</x:v>
      </x:c>
      <x:c r="C87" s="23" t="str">
        <x:v>Yuca</x:v>
      </x:c>
      <x:c r="D87" s="23" t="str">
        <x:v>yuca</x:v>
      </x:c>
      <x:c r="E87" s="23" t="str">
        <x:v>CONECTADO</x:v>
      </x:c>
      <x:c r="F87" s="23" t="str">
        <x:v>Yuca</x:v>
      </x:c>
      <x:c r="G87" s="23" t="str">
        <x:v>29e4d0c7-8e52-4484-a4ce-53fd8b82a2e4</x:v>
      </x:c>
      <x:c r="H87" s="23" t="str"/>
      <x:c r="I87" s="23" t="str">
        <x:v>DIRECTO_KILO</x:v>
      </x:c>
      <x:c r="J87" s="106" t="n">
        <x:v>40</x:v>
      </x:c>
      <x:c r="K87" s="23" t="str">
        <x:v>KILO</x:v>
      </x:c>
      <x:c r="L87" s="23" t="str">
        <x:v>KILO</x:v>
      </x:c>
      <x:c r="M87" s="23" t="str">
        <x:v>Compra kilo, vende kilo. Margen sugerido 40%.</x:v>
      </x:c>
    </x:row>
    <x:row r="88">
      <x:c r="A88" s="23" t="str">
        <x:v>DERECHA</x:v>
      </x:c>
      <x:c r="B88" s="23" t="n">
        <x:v>42</x:v>
      </x:c>
      <x:c r="C88" s="23" t="str">
        <x:v>Zanahoria Extra</x:v>
      </x:c>
      <x:c r="D88" s="23" t="str">
        <x:v>zanahoria</x:v>
      </x:c>
      <x:c r="E88" s="23" t="str">
        <x:v>CONECTADO_CON_CORRECCION</x:v>
      </x:c>
      <x:c r="F88" s="23" t="str">
        <x:v>Zanahoria</x:v>
      </x:c>
      <x:c r="G88" s="23" t="str">
        <x:v>a2efa4ab-5707-4282-b1b3-6866b92d6aea</x:v>
      </x:c>
      <x:c r="H88" s="23" t="str"/>
      <x:c r="I88" s="23" t="str">
        <x:v>DIRECTO_KILO_CONSOLIDADO</x:v>
      </x:c>
      <x:c r="J88" s="106" t="n">
        <x:v>40</x:v>
      </x:c>
      <x:c r="K88" s="23" t="str">
        <x:v>KILO</x:v>
      </x:c>
      <x:c r="L88" s="23" t="str">
        <x:v>KILO</x:v>
      </x:c>
      <x:c r="M88" s="23" t="str">
        <x:v>Zanahoria Extra/Cero se consolidan en Zanahoria. No separar calidades.</x:v>
      </x:c>
    </x:row>
    <x:row r="89">
      <x:c r="A89" s="23" t="str">
        <x:v>DERECHA</x:v>
      </x:c>
      <x:c r="B89" s="23" t="n">
        <x:v>43</x:v>
      </x:c>
      <x:c r="C89" s="23" t="str">
        <x:v>Zanahoria Cero</x:v>
      </x:c>
      <x:c r="D89" s="23" t="str">
        <x:v>zanahoria</x:v>
      </x:c>
      <x:c r="E89" s="23" t="str">
        <x:v>CONECTADO_CON_CORRECCION</x:v>
      </x:c>
      <x:c r="F89" s="23" t="str">
        <x:v>Zanahoria</x:v>
      </x:c>
      <x:c r="G89" s="23" t="str">
        <x:v>a2efa4ab-5707-4282-b1b3-6866b92d6aea</x:v>
      </x:c>
      <x:c r="H89" s="23" t="str"/>
      <x:c r="I89" s="23" t="str">
        <x:v>DIRECTO_KILO_CONSOLIDADO</x:v>
      </x:c>
      <x:c r="J89" s="106" t="n">
        <x:v>40</x:v>
      </x:c>
      <x:c r="K89" s="23" t="str">
        <x:v>KILO</x:v>
      </x:c>
      <x:c r="L89" s="23" t="str">
        <x:v>KILO</x:v>
      </x:c>
      <x:c r="M89" s="23" t="str">
        <x:v>Zanahoria Extra/Cero se consolidan en Zanahoria. No separar calidades.</x:v>
      </x:c>
    </x:row>
    <x:row r="90">
      <x:c r="A90" s="23" t="str">
        <x:v>DERECHA</x:v>
      </x:c>
      <x:c r="B90" s="23" t="n">
        <x:v>44</x:v>
      </x:c>
      <x:c r="C90" s="23" t="str">
        <x:v>Zukini</x:v>
      </x:c>
      <x:c r="D90" s="23" t="str">
        <x:v>zukini</x:v>
      </x:c>
      <x:c r="E90" s="23" t="str">
        <x:v>CREAR_EN_APP</x:v>
      </x:c>
      <x:c r="F90" s="23" t="str"/>
      <x:c r="G90" s="23" t="str"/>
      <x:c r="H90" s="23" t="str"/>
      <x:c r="I90" s="23" t="str">
        <x:v>SIN_REGLA</x:v>
      </x:c>
      <x:c r="J90" s="106" t="n">
        <x:v>50</x:v>
      </x:c>
      <x:c r="K90" s="23" t="str">
        <x:v>KILO</x:v>
      </x:c>
      <x:c r="L90" s="23" t="str">
        <x:v>KILO</x:v>
      </x:c>
      <x:c r="M90" s="23" t="str">
        <x:v>Sin regla específica. Revisar manualmente.</x:v>
      </x:c>
    </x:row>
    <x:row r="91">
      <x:c r="A91" s="23" t="str">
        <x:v>DERECHA</x:v>
      </x:c>
      <x:c r="B91" s="23" t="n">
        <x:v>45</x:v>
      </x:c>
      <x:c r="C91" s="23" t="str">
        <x:v>Zumo limón Grande</x:v>
      </x:c>
      <x:c r="D91" s="23" t="str">
        <x:v>zumo_limon_grande</x:v>
      </x:c>
      <x:c r="E91" s="23" t="str">
        <x:v>CREAR_EN_APP</x:v>
      </x:c>
      <x:c r="F91" s="23" t="str"/>
      <x:c r="G91" s="23" t="str"/>
      <x:c r="H91" s="23" t="str"/>
      <x:c r="I91" s="23" t="str">
        <x:v>SIN_REGLA</x:v>
      </x:c>
      <x:c r="J91" s="106" t="n">
        <x:v>50</x:v>
      </x:c>
      <x:c r="K91" s="23" t="str">
        <x:v>KILO</x:v>
      </x:c>
      <x:c r="L91" s="23" t="str">
        <x:v>KILO</x:v>
      </x:c>
      <x:c r="M91" s="23" t="str">
        <x:v>Sin regla específica. Revisar manualmente.</x:v>
      </x:c>
    </x:row>
    <x:row r="92">
      <x:c r="A92" s="23" t="str">
        <x:v>DERECHA</x:v>
      </x:c>
      <x:c r="B92" s="23" t="n">
        <x:v>46</x:v>
      </x:c>
      <x:c r="C92" s="23" t="str">
        <x:v>Zumo Limón Pequeño</x:v>
      </x:c>
      <x:c r="D92" s="23" t="str">
        <x:v>zumo_limon_pequeno</x:v>
      </x:c>
      <x:c r="E92" s="23" t="str">
        <x:v>CREAR_EN_APP</x:v>
      </x:c>
      <x:c r="F92" s="23" t="str"/>
      <x:c r="G92" s="23" t="str"/>
      <x:c r="H92" s="23" t="str"/>
      <x:c r="I92" s="23" t="str">
        <x:v>SIN_REGLA</x:v>
      </x:c>
      <x:c r="J92" s="106" t="n">
        <x:v>50</x:v>
      </x:c>
      <x:c r="K92" s="23" t="str">
        <x:v>KILO</x:v>
      </x:c>
      <x:c r="L92" s="23" t="str">
        <x:v>KILO</x:v>
      </x:c>
      <x:c r="M92" s="23" t="str">
        <x:v>Sin regla específica. Revisar manualmente.</x:v>
      </x:c>
    </x:row>
  </x:sheetData>
  <x:conditionalFormatting sqref="E2:E92">
    <x:cfRule type="expression" dxfId="0" priority="1">
      <x:formula>E2="CREAR_EN_APP"</x:formula>
    </x:cfRule>
    <x:cfRule type="expression" dxfId="1" priority="2">
      <x:formula>E2="CREAR_FRUTA_FRESCA"</x:formula>
    </x:cfRule>
    <x:cfRule type="expression" dxfId="2" priority="3">
      <x:formula>E2="MANUAL"</x:formula>
    </x:cfRule>
    <x:cfRule type="expression" dxfId="3" priority="4">
      <x:formula>OR(E2="CONECTADO",E2="CONECTADO_CON_CORRECCION",E2="CONECTADO_VINCULADO")</x:formula>
    </x:cfRule>
    <x:cfRule type="expression" dxfId="4" priority="5">
      <x:formula>E2="MULTI_FORMULA"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10de55f57de400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2" hidden="0" customWidth="1"/>
    <x:col min="5" max="5" width="22" hidden="0" customWidth="1"/>
    <x:col min="6" max="6" width="70" hidden="0" customWidth="1"/>
    <x:col min="7" max="7" width="30" hidden="0" customWidth="1"/>
  </x:cols>
  <x:sheetData>
    <x:row r="1" ht="28" customHeight="1">
      <x:c r="A1" s="29" t="str">
        <x:v>productoClave</x:v>
      </x:c>
      <x:c r="B1" s="29" t="str">
        <x:v>productoReferencia</x:v>
      </x:c>
      <x:c r="C1" s="29" t="str">
        <x:v>tipoRegla</x:v>
      </x:c>
      <x:c r="D1" s="29" t="str">
        <x:v>margenObjetivo</x:v>
      </x:c>
      <x:c r="E1" s="29" t="str">
        <x:v>defaultConversion</x:v>
      </x:c>
      <x:c r="F1" s="29" t="str">
        <x:v>formula/resumen</x:v>
      </x:c>
      <x:c r="G1" s="29" t="str">
        <x:v>observacion</x:v>
      </x:c>
    </x:row>
    <x:row r="2">
      <x:c r="A2" s="23" t="str">
        <x:v>acelga</x:v>
      </x:c>
      <x:c r="B2" s="23" t="str">
        <x:v>Acelga</x:v>
      </x:c>
      <x:c r="C2" s="23" t="str">
        <x:v>DIRECTO_KILO</x:v>
      </x:c>
      <x:c r="D2" s="106" t="n">
        <x:v>60</x:v>
      </x:c>
      <x:c r="E2" s="23" t="str"/>
      <x:c r="F2" s="23" t="str">
        <x:v>Compra kilo, vende kilo. Margen mínimo 60%.</x:v>
      </x:c>
      <x:c r="G2" s="23" t="str"/>
    </x:row>
    <x:row r="3">
      <x:c r="A3" s="23" t="str">
        <x:v>aguacate</x:v>
      </x:c>
      <x:c r="B3" s="23" t="str">
        <x:v>Aguacate</x:v>
      </x:c>
      <x:c r="C3" s="23" t="str">
        <x:v>DIRECTO_KILO</x:v>
      </x:c>
      <x:c r="D3" s="106" t="n">
        <x:v>45</x:v>
      </x:c>
      <x:c r="E3" s="23" t="str"/>
      <x:c r="F3" s="23" t="str">
        <x:v>Compra kilo, vende kilo. Margen recomendado 40-45%.</x:v>
      </x:c>
      <x:c r="G3" s="23" t="str"/>
    </x:row>
    <x:row r="4">
      <x:c r="A4" s="23" t="str">
        <x:v>ahuyamin</x:v>
      </x:c>
      <x:c r="B4" s="23" t="str">
        <x:v>Ahuyamín</x:v>
      </x:c>
      <x:c r="C4" s="23" t="str">
        <x:v>DIRECTO_KILO</x:v>
      </x:c>
      <x:c r="D4" s="106" t="n">
        <x:v>35</x:v>
      </x:c>
      <x:c r="E4" s="23" t="str"/>
      <x:c r="F4" s="23" t="str">
        <x:v>Compra kilo, vende kilo. Margen 35%.</x:v>
      </x:c>
      <x:c r="G4" s="23" t="str"/>
    </x:row>
    <x:row r="5">
      <x:c r="A5" s="23" t="str">
        <x:v>aji_manual</x:v>
      </x:c>
      <x:c r="B5" s="23" t="str">
        <x:v>Ají</x:v>
      </x:c>
      <x:c r="C5" s="23" t="str">
        <x:v>MANUAL</x:v>
      </x:c>
      <x:c r="D5" s="106" t="n">
        <x:v>60</x:v>
      </x:c>
      <x:c r="E5" s="23" t="str"/>
      <x:c r="F5" s="23" t="str">
        <x:v>Manejo manual. No actualizar automáticamente.</x:v>
      </x:c>
      <x:c r="G5" s="23" t="str"/>
    </x:row>
    <x:row r="6">
      <x:c r="A6" s="23" t="str">
        <x:v>ajo_criollo_manojo</x:v>
      </x:c>
      <x:c r="B6" s="23" t="str">
        <x:v>Ajo Criollo</x:v>
      </x:c>
      <x:c r="C6" s="23" t="str">
        <x:v>MATA_A_UNIDAD</x:v>
      </x:c>
      <x:c r="D6" s="106" t="n">
        <x:v>45</x:v>
      </x:c>
      <x:c r="E6" s="23" t="str">
        <x:v>10 manojos/mata</x:v>
      </x:c>
      <x:c r="F6" s="23" t="str">
        <x:v>1 mata = 10 manojos. Precio manojo = costo mata / 10 × 1,45.</x:v>
      </x:c>
      <x:c r="G6" s="23" t="str"/>
    </x:row>
    <x:row r="7">
      <x:c r="A7" s="23" t="str">
        <x:v>ajo_blanco_paquete</x:v>
      </x:c>
      <x:c r="B7" s="23" t="str">
        <x:v>Ajo Blanco</x:v>
      </x:c>
      <x:c r="C7" s="23" t="str">
        <x:v>KILO_A_PAQUETE_ESPECIAL</x:v>
      </x:c>
      <x:c r="D7" s="106" t="n">
        <x:v>100</x:v>
      </x:c>
      <x:c r="E7" s="23" t="str">
        <x:v>21 paquetes/2 kg</x:v>
      </x:c>
      <x:c r="F7" s="23" t="str">
        <x:v>De 2 kg salen 21 paquetes de 3 cabezas. Precio = costo paquete × 2.</x:v>
      </x:c>
      <x:c r="G7" s="23" t="str"/>
    </x:row>
    <x:row r="8">
      <x:c r="A8" s="23" t="str">
        <x:v>ajo_pelado_base</x:v>
      </x:c>
      <x:c r="B8" s="23" t="str">
        <x:v>Ajo Pelado</x:v>
      </x:c>
      <x:c r="C8" s="23" t="str">
        <x:v>MULTI_FORMULA</x:v>
      </x:c>
      <x:c r="D8" s="106" t="n">
        <x:v>45</x:v>
      </x:c>
      <x:c r="E8" s="23" t="str">
        <x:v>150g y 75g</x:v>
      </x:c>
      <x:c r="F8" s="23" t="str">
        <x:v>Kilo base: 150g margen 45%; 75g margen 60%.</x:v>
      </x:c>
      <x:c r="G8" s="23" t="str"/>
    </x:row>
    <x:row r="9">
      <x:c r="A9" s="23" t="str">
        <x:v>apio_espana</x:v>
      </x:c>
      <x:c r="B9" s="23" t="str">
        <x:v>Apio España</x:v>
      </x:c>
      <x:c r="C9" s="23" t="str">
        <x:v>MATA_A_KILO_ESPECIAL</x:v>
      </x:c>
      <x:c r="D9" s="106" t="n">
        <x:v>70</x:v>
      </x:c>
      <x:c r="E9" s="23" t="str"/>
      <x:c r="F9" s="23" t="str">
        <x:v>Vender $3.000/kg si mata &lt;= $3.970 y pesa mínimo 2,25kg; si no, costoKg × 1,70.</x:v>
      </x:c>
      <x:c r="G9" s="23" t="str"/>
    </x:row>
    <x:row r="10">
      <x:c r="A10" s="23" t="str">
        <x:v>arandanos</x:v>
      </x:c>
      <x:c r="B10" s="23" t="str">
        <x:v>Arándanos</x:v>
      </x:c>
      <x:c r="C10" s="23" t="str">
        <x:v>SIN_REGLA</x:v>
      </x:c>
      <x:c r="D10" s="106" t="n">
        <x:v>50</x:v>
      </x:c>
      <x:c r="E10" s="23" t="str"/>
      <x:c r="F10" s="23" t="str">
        <x:v>Sin regla específica. Revisar manualmente.</x:v>
      </x:c>
      <x:c r="G10" s="23" t="str"/>
    </x:row>
    <x:row r="11">
      <x:c r="A11" s="23" t="str">
        <x:v>arveja_con_cascara</x:v>
      </x:c>
      <x:c r="B11" s="23" t="str">
        <x:v>Arveja</x:v>
      </x:c>
      <x:c r="C11" s="23" t="str">
        <x:v>MULTI_FORMULA</x:v>
      </x:c>
      <x:c r="D11" s="106" t="n">
        <x:v>35</x:v>
      </x:c>
      <x:c r="E11" s="23" t="str"/>
      <x:c r="F11" s="23" t="str">
        <x:v>3 kg con cáscara = 1 kg desgranada. Paquetes 150g y 270g según fórmula.</x:v>
      </x:c>
      <x:c r="G11" s="23" t="str"/>
    </x:row>
    <x:row r="12">
      <x:c r="A12" s="23" t="str">
        <x:v>arracacha</x:v>
      </x:c>
      <x:c r="B12" s="23" t="str">
        <x:v>Arracacha</x:v>
      </x:c>
      <x:c r="C12" s="23" t="str">
        <x:v>DIRECTO_KILO</x:v>
      </x:c>
      <x:c r="D12" s="106" t="n">
        <x:v>35</x:v>
      </x:c>
      <x:c r="E12" s="23" t="str"/>
      <x:c r="F12" s="23" t="str">
        <x:v>Compra kilo, vende kilo. Margen 35%.</x:v>
      </x:c>
      <x:c r="G12" s="23" t="str"/>
    </x:row>
    <x:row r="13">
      <x:c r="A13" s="23" t="str">
        <x:v>banano</x:v>
      </x:c>
      <x:c r="B13" s="23" t="str">
        <x:v>Banano</x:v>
      </x:c>
      <x:c r="C13" s="23" t="str">
        <x:v>CAJA_A_KILO</x:v>
      </x:c>
      <x:c r="D13" s="106" t="n">
        <x:v>40</x:v>
      </x:c>
      <x:c r="E13" s="23" t="str">
        <x:v>18,5 kg/caja</x:v>
      </x:c>
      <x:c r="F13" s="23" t="str">
        <x:v>Caja default 18,5 kg. Vende kilo.</x:v>
      </x:c>
      <x:c r="G13" s="23" t="str"/>
    </x:row>
    <x:row r="14">
      <x:c r="A14" s="23" t="str">
        <x:v>berenjena</x:v>
      </x:c>
      <x:c r="B14" s="23" t="str">
        <x:v>Berenjena</x:v>
      </x:c>
      <x:c r="C14" s="23" t="str">
        <x:v>SIN_REGLA</x:v>
      </x:c>
      <x:c r="D14" s="106" t="n">
        <x:v>50</x:v>
      </x:c>
      <x:c r="E14" s="23" t="str"/>
      <x:c r="F14" s="23" t="str">
        <x:v>Sin regla específica. Revisar manualmente.</x:v>
      </x:c>
      <x:c r="G14" s="23" t="str"/>
    </x:row>
    <x:row r="15">
      <x:c r="A15" s="23" t="str">
        <x:v>brocoli</x:v>
      </x:c>
      <x:c r="B15" s="23" t="str">
        <x:v>Brócoli</x:v>
      </x:c>
      <x:c r="C15" s="23" t="str">
        <x:v>DIRECTO_UNIDAD</x:v>
      </x:c>
      <x:c r="D15" s="106" t="n">
        <x:v>50</x:v>
      </x:c>
      <x:c r="E15" s="23" t="str"/>
      <x:c r="F15" s="23" t="str">
        <x:v>Compra unidad, vende unidad. Margen 50%.</x:v>
      </x:c>
      <x:c r="G15" s="23" t="str"/>
    </x:row>
    <x:row r="16">
      <x:c r="A16" s="23" t="str">
        <x:v>calabaza</x:v>
      </x:c>
      <x:c r="B16" s="23" t="str">
        <x:v>Calabaza</x:v>
      </x:c>
      <x:c r="C16" s="23" t="str">
        <x:v>SIN_REGLA</x:v>
      </x:c>
      <x:c r="D16" s="106" t="n">
        <x:v>50</x:v>
      </x:c>
      <x:c r="E16" s="23" t="str"/>
      <x:c r="F16" s="23" t="str">
        <x:v>Sin regla específica. Revisar manualmente.</x:v>
      </x:c>
      <x:c r="G16" s="23" t="str"/>
    </x:row>
    <x:row r="17">
      <x:c r="A17" s="23" t="str">
        <x:v>calabacin</x:v>
      </x:c>
      <x:c r="B17" s="23" t="str">
        <x:v>Calabacín</x:v>
      </x:c>
      <x:c r="C17" s="23" t="str">
        <x:v>SIN_REGLA</x:v>
      </x:c>
      <x:c r="D17" s="106" t="n">
        <x:v>50</x:v>
      </x:c>
      <x:c r="E17" s="23" t="str"/>
      <x:c r="F17" s="23" t="str">
        <x:v>Sin regla específica. Revisar manualmente.</x:v>
      </x:c>
      <x:c r="G17" s="23" t="str"/>
    </x:row>
    <x:row r="18">
      <x:c r="A18" s="23" t="str">
        <x:v>cebolla_cabezona_blanca</x:v>
      </x:c>
      <x:c r="B18" s="23" t="str">
        <x:v>Ceb. Cabezona Blanca</x:v>
      </x:c>
      <x:c r="C18" s="23" t="str">
        <x:v>BULTO_A_KILO</x:v>
      </x:c>
      <x:c r="D18" s="106" t="n">
        <x:v>60</x:v>
      </x:c>
      <x:c r="E18" s="23" t="str">
        <x:v>50 kg/bulto</x:v>
      </x:c>
      <x:c r="F18" s="23" t="str">
        <x:v>Bulto default 50 kg o kilo. Margen recomendado 50-60%.</x:v>
      </x:c>
      <x:c r="G18" s="23" t="str"/>
    </x:row>
    <x:row r="19">
      <x:c r="A19" s="23" t="str">
        <x:v>cebolla_cabezona_roja</x:v>
      </x:c>
      <x:c r="B19" s="23" t="str">
        <x:v>Ceb. Cabezona Roja</x:v>
      </x:c>
      <x:c r="C19" s="23" t="str">
        <x:v>DIRECTO_KILO</x:v>
      </x:c>
      <x:c r="D19" s="106" t="n">
        <x:v>35</x:v>
      </x:c>
      <x:c r="E19" s="23" t="str"/>
      <x:c r="F19" s="23" t="str">
        <x:v>Compra kilo, vende kilo. Margen 35%.</x:v>
      </x:c>
      <x:c r="G19" s="23" t="str"/>
    </x:row>
    <x:row r="20">
      <x:c r="A20" s="23" t="str">
        <x:v>cebolla_larga</x:v>
      </x:c>
      <x:c r="B20" s="23" t="str">
        <x:v>Ceb. Larga</x:v>
      </x:c>
      <x:c r="C20" s="23" t="str">
        <x:v>MATA_A_KILO</x:v>
      </x:c>
      <x:c r="D20" s="106" t="n">
        <x:v>60</x:v>
      </x:c>
      <x:c r="E20" s="23" t="str">
        <x:v>25 kg/mata</x:v>
      </x:c>
      <x:c r="F20" s="23" t="str">
        <x:v>Mata default 25 kg. Vende kilo. Margen recomendado 50-60%.</x:v>
      </x:c>
      <x:c r="G20" s="23" t="str"/>
    </x:row>
    <x:row r="21">
      <x:c r="A21" s="23" t="str">
        <x:v>ceb_puerro</x:v>
      </x:c>
      <x:c r="B21" s="23" t="str">
        <x:v>Ceb. Puerro</x:v>
      </x:c>
      <x:c r="C21" s="23" t="str">
        <x:v>SIN_REGLA</x:v>
      </x:c>
      <x:c r="D21" s="106" t="n">
        <x:v>50</x:v>
      </x:c>
      <x:c r="E21" s="23" t="str"/>
      <x:c r="F21" s="23" t="str">
        <x:v>Sin regla específica. Revisar manualmente.</x:v>
      </x:c>
      <x:c r="G21" s="23" t="str"/>
    </x:row>
    <x:row r="22">
      <x:c r="A22" s="23" t="str">
        <x:v>cilantro</x:v>
      </x:c>
      <x:c r="B22" s="23" t="str">
        <x:v>Cilantro</x:v>
      </x:c>
      <x:c r="C22" s="23" t="str">
        <x:v>MULTI_FORMULA</x:v>
      </x:c>
      <x:c r="D22" s="106" t="n">
        <x:v>119</x:v>
      </x:c>
      <x:c r="E22" s="23" t="str">
        <x:v>65g/paquete</x:v>
      </x:c>
      <x:c r="F22" s="23" t="str">
        <x:v>Paquete 65g, precio base $1.000, objetivo 119%.</x:v>
      </x:c>
      <x:c r="G22" s="23" t="str"/>
    </x:row>
    <x:row r="23">
      <x:c r="A23" s="23" t="str">
        <x:v>ciruela</x:v>
      </x:c>
      <x:c r="B23" s="23" t="str">
        <x:v>Ciruela</x:v>
      </x:c>
      <x:c r="C23" s="23" t="str">
        <x:v>DIRECTO_BANDEJA</x:v>
      </x:c>
      <x:c r="D23" s="106" t="n">
        <x:v>50</x:v>
      </x:c>
      <x:c r="E23" s="23" t="str"/>
      <x:c r="F23" s="23" t="str">
        <x:v>Compra bandeja, vende bandeja. Margen 50%.</x:v>
      </x:c>
      <x:c r="G23" s="23" t="str"/>
    </x:row>
    <x:row r="24">
      <x:c r="A24" s="23" t="str">
        <x:v>coliflor</x:v>
      </x:c>
      <x:c r="B24" s="23" t="str">
        <x:v>Coliflor</x:v>
      </x:c>
      <x:c r="C24" s="23" t="str">
        <x:v>DIRECTO_UNIDAD</x:v>
      </x:c>
      <x:c r="D24" s="106" t="n">
        <x:v>50</x:v>
      </x:c>
      <x:c r="E24" s="23" t="str"/>
      <x:c r="F24" s="23" t="str">
        <x:v>Compra unidad, vende unidad. Margen 50%.</x:v>
      </x:c>
      <x:c r="G24" s="23" t="str"/>
    </x:row>
    <x:row r="25">
      <x:c r="A25" s="23" t="str">
        <x:v>curuba</x:v>
      </x:c>
      <x:c r="B25" s="23" t="str">
        <x:v>Curuba</x:v>
      </x:c>
      <x:c r="C25" s="23" t="str">
        <x:v>SIN_REGLA</x:v>
      </x:c>
      <x:c r="D25" s="106" t="n">
        <x:v>50</x:v>
      </x:c>
      <x:c r="E25" s="23" t="str"/>
      <x:c r="F25" s="23" t="str">
        <x:v>Sin regla específica. Revisar manualmente.</x:v>
      </x:c>
      <x:c r="G25" s="23" t="str"/>
    </x:row>
    <x:row r="26">
      <x:c r="A26" s="23" t="str">
        <x:v>champinon</x:v>
      </x:c>
      <x:c r="B26" s="23" t="str">
        <x:v>Champiñón</x:v>
      </x:c>
      <x:c r="C26" s="23" t="str">
        <x:v>SIN_REGLA</x:v>
      </x:c>
      <x:c r="D26" s="106" t="n">
        <x:v>50</x:v>
      </x:c>
      <x:c r="E26" s="23" t="str"/>
      <x:c r="F26" s="23" t="str">
        <x:v>Sin regla específica. Revisar manualmente.</x:v>
      </x:c>
      <x:c r="G26" s="23" t="str"/>
    </x:row>
    <x:row r="27">
      <x:c r="A27" s="23" t="str">
        <x:v>durazno</x:v>
      </x:c>
      <x:c r="B27" s="23" t="str">
        <x:v>Durazno</x:v>
      </x:c>
      <x:c r="C27" s="23" t="str">
        <x:v>SIN_REGLA</x:v>
      </x:c>
      <x:c r="D27" s="106" t="n">
        <x:v>50</x:v>
      </x:c>
      <x:c r="E27" s="23" t="str"/>
      <x:c r="F27" s="23" t="str">
        <x:v>Sin regla específica. Revisar manualmente.</x:v>
      </x:c>
      <x:c r="G27" s="23" t="str"/>
    </x:row>
    <x:row r="28">
      <x:c r="A28" s="23" t="str">
        <x:v>espinaca</x:v>
      </x:c>
      <x:c r="B28" s="23" t="str">
        <x:v>Espinaca</x:v>
      </x:c>
      <x:c r="C28" s="23" t="str">
        <x:v>DIRECTO_KILO</x:v>
      </x:c>
      <x:c r="D28" s="106" t="n">
        <x:v>100</x:v>
      </x:c>
      <x:c r="E28" s="23" t="str"/>
      <x:c r="F28" s="23" t="str">
        <x:v>Compra kilo, vende kilo. Margen 100%.</x:v>
      </x:c>
      <x:c r="G28" s="23" t="str"/>
    </x:row>
    <x:row r="29">
      <x:c r="A29" s="23" t="str">
        <x:v>fresa</x:v>
      </x:c>
      <x:c r="B29" s="23" t="str">
        <x:v>Fresa</x:v>
      </x:c>
      <x:c r="C29" s="23" t="str">
        <x:v>DIRECTO_BANDEJA</x:v>
      </x:c>
      <x:c r="D29" s="106" t="n">
        <x:v>50</x:v>
      </x:c>
      <x:c r="E29" s="23" t="str"/>
      <x:c r="F29" s="23" t="str">
        <x:v>Compra caja/bandeja. Revisar presentación. Margen sugerido 50%.</x:v>
      </x:c>
      <x:c r="G29" s="23" t="str"/>
    </x:row>
    <x:row r="30">
      <x:c r="A30" s="23" t="str">
        <x:v>fresa_extra</x:v>
      </x:c>
      <x:c r="B30" s="23" t="str">
        <x:v>Fresa Extra</x:v>
      </x:c>
      <x:c r="C30" s="23" t="str">
        <x:v>DIRECTO_BANDEJA</x:v>
      </x:c>
      <x:c r="D30" s="106" t="n">
        <x:v>50</x:v>
      </x:c>
      <x:c r="E30" s="23" t="str"/>
      <x:c r="F30" s="23" t="str">
        <x:v>Compra caja/bandeja. Revisar presentación. Margen sugerido 50%.</x:v>
      </x:c>
      <x:c r="G30" s="23" t="str"/>
    </x:row>
    <x:row r="31">
      <x:c r="A31" s="23" t="str">
        <x:v>frijol_verde</x:v>
      </x:c>
      <x:c r="B31" s="23" t="str">
        <x:v>Frijol Verde</x:v>
      </x:c>
      <x:c r="C31" s="23" t="str">
        <x:v>SIN_REGLA</x:v>
      </x:c>
      <x:c r="D31" s="106" t="n">
        <x:v>50</x:v>
      </x:c>
      <x:c r="E31" s="23" t="str"/>
      <x:c r="F31" s="23" t="str">
        <x:v>Sin regla específica. Revisar manualmente.</x:v>
      </x:c>
      <x:c r="G31" s="23" t="str"/>
    </x:row>
    <x:row r="32">
      <x:c r="A32" s="23" t="str">
        <x:v>jengibre</x:v>
      </x:c>
      <x:c r="B32" s="23" t="str">
        <x:v>Jengibre</x:v>
      </x:c>
      <x:c r="C32" s="23" t="str">
        <x:v>DIRECTO_KILO</x:v>
      </x:c>
      <x:c r="D32" s="106" t="n">
        <x:v>50</x:v>
      </x:c>
      <x:c r="E32" s="23" t="str"/>
      <x:c r="F32" s="23" t="str">
        <x:v>Compra kilo, vende kilo. Margen mínimo 50%.</x:v>
      </x:c>
      <x:c r="G32" s="23" t="str"/>
    </x:row>
    <x:row r="33">
      <x:c r="A33" s="23" t="str">
        <x:v>granadilla</x:v>
      </x:c>
      <x:c r="B33" s="23" t="str">
        <x:v>Granadilla</x:v>
      </x:c>
      <x:c r="C33" s="23" t="str">
        <x:v>DIRECTO_UNIDAD</x:v>
      </x:c>
      <x:c r="D33" s="106" t="n">
        <x:v>50</x:v>
      </x:c>
      <x:c r="E33" s="23" t="str"/>
      <x:c r="F33" s="23" t="str">
        <x:v>Compra unidad, vende unidad. Margen cercano 50%.</x:v>
      </x:c>
      <x:c r="G33" s="23" t="str"/>
    </x:row>
    <x:row r="34">
      <x:c r="A34" s="23" t="str">
        <x:v>guascas</x:v>
      </x:c>
      <x:c r="B34" s="23" t="str">
        <x:v>Guascas</x:v>
      </x:c>
      <x:c r="C34" s="23" t="str">
        <x:v>SIN_REGLA</x:v>
      </x:c>
      <x:c r="D34" s="106" t="n">
        <x:v>50</x:v>
      </x:c>
      <x:c r="E34" s="23" t="str"/>
      <x:c r="F34" s="23" t="str">
        <x:v>Sin regla específica. Revisar manualmente.</x:v>
      </x:c>
      <x:c r="G34" s="23" t="str"/>
    </x:row>
    <x:row r="35">
      <x:c r="A35" s="23" t="str">
        <x:v>guayaba</x:v>
      </x:c>
      <x:c r="B35" s="23" t="str">
        <x:v>Guayaba</x:v>
      </x:c>
      <x:c r="C35" s="23" t="str">
        <x:v>SIN_REGLA</x:v>
      </x:c>
      <x:c r="D35" s="106" t="n">
        <x:v>50</x:v>
      </x:c>
      <x:c r="E35" s="23" t="str"/>
      <x:c r="F35" s="23" t="str">
        <x:v>Sin regla específica. Revisar manualmente.</x:v>
      </x:c>
      <x:c r="G35" s="23" t="str"/>
    </x:row>
    <x:row r="36">
      <x:c r="A36" s="23" t="str">
        <x:v>guayaba_pera</x:v>
      </x:c>
      <x:c r="B36" s="23" t="str">
        <x:v>Guayaba Pera</x:v>
      </x:c>
      <x:c r="C36" s="23" t="str">
        <x:v>SIN_REGLA</x:v>
      </x:c>
      <x:c r="D36" s="106" t="n">
        <x:v>50</x:v>
      </x:c>
      <x:c r="E36" s="23" t="str"/>
      <x:c r="F36" s="23" t="str">
        <x:v>Sin regla específica. Revisar manualmente.</x:v>
      </x:c>
      <x:c r="G36" s="23" t="str"/>
    </x:row>
    <x:row r="37">
      <x:c r="A37" s="23" t="str">
        <x:v>guatila</x:v>
      </x:c>
      <x:c r="B37" s="23" t="str">
        <x:v>Guatila</x:v>
      </x:c>
      <x:c r="C37" s="23" t="str">
        <x:v>SIN_REGLA</x:v>
      </x:c>
      <x:c r="D37" s="106" t="n">
        <x:v>50</x:v>
      </x:c>
      <x:c r="E37" s="23" t="str"/>
      <x:c r="F37" s="23" t="str">
        <x:v>Sin regla específica. Revisar manualmente.</x:v>
      </x:c>
      <x:c r="G37" s="23" t="str"/>
    </x:row>
    <x:row r="38">
      <x:c r="A38" s="23" t="str">
        <x:v>guanabana_fresca</x:v>
      </x:c>
      <x:c r="B38" s="23" t="str">
        <x:v>Guanábana</x:v>
      </x:c>
      <x:c r="C38" s="23" t="str">
        <x:v>SIN_REGLA</x:v>
      </x:c>
      <x:c r="D38" s="106" t="n">
        <x:v>50</x:v>
      </x:c>
      <x:c r="E38" s="23" t="str"/>
      <x:c r="F38" s="23" t="str">
        <x:v>Sin regla específica. Revisar manualmente.</x:v>
      </x:c>
      <x:c r="G38" s="23" t="str"/>
    </x:row>
    <x:row r="39">
      <x:c r="A39" s="23" t="str">
        <x:v>habas</x:v>
      </x:c>
      <x:c r="B39" s="23" t="str">
        <x:v>Habas</x:v>
      </x:c>
      <x:c r="C39" s="23" t="str">
        <x:v>SIN_REGLA</x:v>
      </x:c>
      <x:c r="D39" s="106" t="n">
        <x:v>50</x:v>
      </x:c>
      <x:c r="E39" s="23" t="str"/>
      <x:c r="F39" s="23" t="str">
        <x:v>Sin regla específica. Revisar manualmente.</x:v>
      </x:c>
      <x:c r="G39" s="23" t="str"/>
    </x:row>
    <x:row r="40">
      <x:c r="A40" s="23" t="str">
        <x:v>habichuela</x:v>
      </x:c>
      <x:c r="B40" s="23" t="str">
        <x:v>Habichuela</x:v>
      </x:c>
      <x:c r="C40" s="23" t="str">
        <x:v>DIRECTO_KILO</x:v>
      </x:c>
      <x:c r="D40" s="106" t="n">
        <x:v>50</x:v>
      </x:c>
      <x:c r="E40" s="23" t="str"/>
      <x:c r="F40" s="23" t="str">
        <x:v>Compra kilo, vende kilo. Margen 50%.</x:v>
      </x:c>
      <x:c r="G40" s="23" t="str"/>
    </x:row>
    <x:row r="41">
      <x:c r="A41" s="23" t="str">
        <x:v>kiwi</x:v>
      </x:c>
      <x:c r="B41" s="23" t="str">
        <x:v>Kiwi</x:v>
      </x:c>
      <x:c r="C41" s="23" t="str">
        <x:v>SIN_REGLA</x:v>
      </x:c>
      <x:c r="D41" s="106" t="n">
        <x:v>50</x:v>
      </x:c>
      <x:c r="E41" s="23" t="str"/>
      <x:c r="F41" s="23" t="str">
        <x:v>Sin regla específica. Revisar manualmente.</x:v>
      </x:c>
      <x:c r="G41" s="23" t="str"/>
    </x:row>
    <x:row r="42">
      <x:c r="A42" s="23" t="str">
        <x:v>lechuga_crespa</x:v>
      </x:c>
      <x:c r="B42" s="23" t="str">
        <x:v>Lechuga Crespa</x:v>
      </x:c>
      <x:c r="C42" s="23" t="str">
        <x:v>DIRECTO_UNIDAD</x:v>
      </x:c>
      <x:c r="D42" s="106" t="n">
        <x:v>60</x:v>
      </x:c>
      <x:c r="E42" s="23" t="str"/>
      <x:c r="F42" s="23" t="str">
        <x:v>Compra unidad, vende unidad. Margen recomendado 50-60%.</x:v>
      </x:c>
      <x:c r="G42" s="23" t="str"/>
    </x:row>
    <x:row r="43">
      <x:c r="A43" s="23" t="str">
        <x:v>lechuga_batavia</x:v>
      </x:c>
      <x:c r="B43" s="23" t="str">
        <x:v>Lechuga Batavia</x:v>
      </x:c>
      <x:c r="C43" s="23" t="str">
        <x:v>DIRECTO_UNIDAD</x:v>
      </x:c>
      <x:c r="D43" s="106" t="n">
        <x:v>70</x:v>
      </x:c>
      <x:c r="E43" s="23" t="str"/>
      <x:c r="F43" s="23" t="str">
        <x:v>Compra unidad, vende unidad. Margen recomendado 60-70%.</x:v>
      </x:c>
      <x:c r="G43" s="23" t="str"/>
    </x:row>
    <x:row r="44">
      <x:c r="A44" s="23" t="str">
        <x:v>limon_taiti</x:v>
      </x:c>
      <x:c r="B44" s="23" t="str">
        <x:v>Limón Taití</x:v>
      </x:c>
      <x:c r="C44" s="23" t="str">
        <x:v>SIN_REGLA</x:v>
      </x:c>
      <x:c r="D44" s="106" t="n">
        <x:v>50</x:v>
      </x:c>
      <x:c r="E44" s="23" t="str"/>
      <x:c r="F44" s="23" t="str">
        <x:v>Sin regla específica. Revisar manualmente.</x:v>
      </x:c>
      <x:c r="G44" s="23" t="str"/>
    </x:row>
    <x:row r="45">
      <x:c r="A45" s="23" t="str">
        <x:v>limon_castilla_docena</x:v>
      </x:c>
      <x:c r="B45" s="23" t="str">
        <x:v>Limón Castilla</x:v>
      </x:c>
      <x:c r="C45" s="23" t="str">
        <x:v>KILO_A_PAQUETE_GRAMOS</x:v>
      </x:c>
      <x:c r="D45" s="106" t="n">
        <x:v>85</x:v>
      </x:c>
      <x:c r="E45" s="23" t="str">
        <x:v>360g/paquete 12 und</x:v>
      </x:c>
      <x:c r="F45" s="23" t="str">
        <x:v>Paquete 12 unidades = 360g. Precio = costoKg × 0,36 × 1,85.</x:v>
      </x:c>
      <x:c r="G45" s="23" t="str"/>
    </x:row>
    <x:row r="46">
      <x:c r="A46" s="23" t="str">
        <x:v>limon_mandarino</x:v>
      </x:c>
      <x:c r="B46" s="23" t="str">
        <x:v>Limón Mandarino</x:v>
      </x:c>
      <x:c r="C46" s="23" t="str">
        <x:v>DIRECTO_KILO</x:v>
      </x:c>
      <x:c r="D46" s="106" t="n">
        <x:v>55</x:v>
      </x:c>
      <x:c r="E46" s="23" t="str"/>
      <x:c r="F46" s="23" t="str">
        <x:v>Compra kilo, vende kilo. Margen recomendado 55%.</x:v>
      </x:c>
      <x:c r="G46" s="23" t="str"/>
    </x:row>
    <x:row r="47">
      <x:c r="A47" s="23" t="str">
        <x:v>lulo_fresco</x:v>
      </x:c>
      <x:c r="B47" s="23" t="str">
        <x:v>Lulo</x:v>
      </x:c>
      <x:c r="C47" s="23" t="str">
        <x:v>CAJA_A_KILO</x:v>
      </x:c>
      <x:c r="D47" s="106" t="n">
        <x:v>50</x:v>
      </x:c>
      <x:c r="E47" s="23" t="str">
        <x:v>11-12 kg/caja</x:v>
      </x:c>
      <x:c r="F47" s="23" t="str">
        <x:v>Fruta fresca. Caja default 11-12 kg. No conectar a pulpa.</x:v>
      </x:c>
      <x:c r="G47" s="23" t="str"/>
    </x:row>
    <x:row r="48">
      <x:c r="A48" s="23" t="str">
        <x:v>maiz_por_arroba</x:v>
      </x:c>
      <x:c r="B48" s="23" t="str">
        <x:v>Maíz por Arroba</x:v>
      </x:c>
      <x:c r="C48" s="23" t="str">
        <x:v>SIN_REGLA</x:v>
      </x:c>
      <x:c r="D48" s="106" t="n">
        <x:v>50</x:v>
      </x:c>
      <x:c r="E48" s="23" t="str"/>
      <x:c r="F48" s="23" t="str">
        <x:v>Sin regla específica. Revisar manualmente.</x:v>
      </x:c>
      <x:c r="G48" s="23" t="str"/>
    </x:row>
    <x:row r="49">
      <x:c r="A49" s="23" t="str">
        <x:v>maiz_entero</x:v>
      </x:c>
      <x:c r="B49" s="23" t="str">
        <x:v>Maíz Entero</x:v>
      </x:c>
      <x:c r="C49" s="23" t="str">
        <x:v>SIN_REGLA</x:v>
      </x:c>
      <x:c r="D49" s="106" t="n">
        <x:v>50</x:v>
      </x:c>
      <x:c r="E49" s="23" t="str"/>
      <x:c r="F49" s="23" t="str">
        <x:v>Sin regla específica. Revisar manualmente.</x:v>
      </x:c>
      <x:c r="G49" s="23" t="str"/>
    </x:row>
    <x:row r="50">
      <x:c r="A50" s="23" t="str">
        <x:v>maiz_partido</x:v>
      </x:c>
      <x:c r="B50" s="23" t="str">
        <x:v>Maíz Partido</x:v>
      </x:c>
      <x:c r="C50" s="23" t="str">
        <x:v>SIN_REGLA</x:v>
      </x:c>
      <x:c r="D50" s="106" t="n">
        <x:v>50</x:v>
      </x:c>
      <x:c r="E50" s="23" t="str"/>
      <x:c r="F50" s="23" t="str">
        <x:v>Sin regla específica. Revisar manualmente.</x:v>
      </x:c>
      <x:c r="G50" s="23" t="str"/>
    </x:row>
    <x:row r="51">
      <x:c r="A51" s="23" t="str">
        <x:v>mandarina</x:v>
      </x:c>
      <x:c r="B51" s="23" t="str">
        <x:v>Mandarina</x:v>
      </x:c>
      <x:c r="C51" s="23" t="str">
        <x:v>CAJA_A_KILO</x:v>
      </x:c>
      <x:c r="D51" s="106" t="n">
        <x:v>45</x:v>
      </x:c>
      <x:c r="E51" s="23" t="str">
        <x:v>11-12 kg/caja</x:v>
      </x:c>
      <x:c r="F51" s="23" t="str">
        <x:v>Caja default 11-12 kg. Margen sugerido 45%.</x:v>
      </x:c>
      <x:c r="G51" s="23" t="str"/>
    </x:row>
    <x:row r="52">
      <x:c r="A52" s="23" t="str">
        <x:v>mango</x:v>
      </x:c>
      <x:c r="B52" s="23" t="str">
        <x:v>Mango</x:v>
      </x:c>
      <x:c r="C52" s="23" t="str">
        <x:v>SIN_REGLA</x:v>
      </x:c>
      <x:c r="D52" s="106" t="n">
        <x:v>50</x:v>
      </x:c>
      <x:c r="E52" s="23" t="str"/>
      <x:c r="F52" s="23" t="str">
        <x:v>Sin regla específica. Revisar manualmente.</x:v>
      </x:c>
      <x:c r="G52" s="23" t="str"/>
    </x:row>
    <x:row r="53">
      <x:c r="A53" s="23" t="str">
        <x:v>manzana_verde</x:v>
      </x:c>
      <x:c r="B53" s="23" t="str">
        <x:v>Manzana Verde</x:v>
      </x:c>
      <x:c r="C53" s="23" t="str">
        <x:v>BANDEJA_A_UNIDAD</x:v>
      </x:c>
      <x:c r="D53" s="106" t="n">
        <x:v>55</x:v>
      </x:c>
      <x:c r="E53" s="23" t="str">
        <x:v>22-24 und/bandeja</x:v>
      </x:c>
      <x:c r="F53" s="23" t="str">
        <x:v>Bandeja 22-24 unidades. Vende unidad.</x:v>
      </x:c>
      <x:c r="G53" s="23" t="str"/>
    </x:row>
    <x:row r="54">
      <x:c r="A54" s="23" t="str">
        <x:v>manzana_roja</x:v>
      </x:c>
      <x:c r="B54" s="23" t="str">
        <x:v>Manzana Roja</x:v>
      </x:c>
      <x:c r="C54" s="23" t="str">
        <x:v>BANDEJA_A_UNIDAD</x:v>
      </x:c>
      <x:c r="D54" s="106" t="n">
        <x:v>55</x:v>
      </x:c>
      <x:c r="E54" s="23" t="str">
        <x:v>22-24 und/bandeja</x:v>
      </x:c>
      <x:c r="F54" s="23" t="str">
        <x:v>Bandeja 22-24 unidades. Vende unidad.</x:v>
      </x:c>
      <x:c r="G54" s="23" t="str"/>
    </x:row>
    <x:row r="55">
      <x:c r="A55" s="23" t="str">
        <x:v>manzana_royale</x:v>
      </x:c>
      <x:c r="B55" s="23" t="str">
        <x:v>Manzana Royale</x:v>
      </x:c>
      <x:c r="C55" s="23" t="str">
        <x:v>DIRECTO_UNIDAD</x:v>
      </x:c>
      <x:c r="D55" s="106" t="n">
        <x:v>50</x:v>
      </x:c>
      <x:c r="E55" s="23" t="str"/>
      <x:c r="F55" s="23" t="str">
        <x:v>Venta por unidad. Margen sugerido 50%.</x:v>
      </x:c>
      <x:c r="G55" s="23" t="str"/>
    </x:row>
    <x:row r="56">
      <x:c r="A56" s="23" t="str">
        <x:v>maracuya</x:v>
      </x:c>
      <x:c r="B56" s="23" t="str">
        <x:v>Maracuyá</x:v>
      </x:c>
      <x:c r="C56" s="23" t="str">
        <x:v>SIN_REGLA</x:v>
      </x:c>
      <x:c r="D56" s="106" t="n">
        <x:v>50</x:v>
      </x:c>
      <x:c r="E56" s="23" t="str"/>
      <x:c r="F56" s="23" t="str">
        <x:v>Sin regla específica. Revisar manualmente.</x:v>
      </x:c>
      <x:c r="G56" s="23" t="str"/>
    </x:row>
    <x:row r="57">
      <x:c r="A57" s="23" t="str">
        <x:v>melon</x:v>
      </x:c>
      <x:c r="B57" s="23" t="str">
        <x:v>Melón</x:v>
      </x:c>
      <x:c r="C57" s="23" t="str">
        <x:v>SIN_REGLA</x:v>
      </x:c>
      <x:c r="D57" s="106" t="n">
        <x:v>50</x:v>
      </x:c>
      <x:c r="E57" s="23" t="str"/>
      <x:c r="F57" s="23" t="str">
        <x:v>Sin regla específica. Revisar manualmente.</x:v>
      </x:c>
      <x:c r="G57" s="23" t="str"/>
    </x:row>
    <x:row r="58">
      <x:c r="A58" s="23" t="str">
        <x:v>mazorca_bandeja</x:v>
      </x:c>
      <x:c r="B58" s="23" t="str">
        <x:v>Mazorca Bandeja</x:v>
      </x:c>
      <x:c r="C58" s="23" t="str">
        <x:v>MULTI_FORMULA</x:v>
      </x:c>
      <x:c r="D58" s="106" t="n">
        <x:v>50</x:v>
      </x:c>
      <x:c r="E58" s="23" t="str">
        <x:v>4 unidades/bandeja</x:v>
      </x:c>
      <x:c r="F58" s="23" t="str">
        <x:v>Bandeja de 4 mazorcas. Puede actualizar Mazorca y Mazorca por Unidad.</x:v>
      </x:c>
      <x:c r="G58" s="23" t="str"/>
    </x:row>
    <x:row r="59">
      <x:c r="A59" s="23" t="str">
        <x:v>mora_fresca</x:v>
      </x:c>
      <x:c r="B59" s="23" t="str">
        <x:v>Mora</x:v>
      </x:c>
      <x:c r="C59" s="23" t="str">
        <x:v>CAJA_A_PAQUETE</x:v>
      </x:c>
      <x:c r="D59" s="106" t="n">
        <x:v>50</x:v>
      </x:c>
      <x:c r="E59" s="23" t="str">
        <x:v>10 paquetes/caja</x:v>
      </x:c>
      <x:c r="F59" s="23" t="str">
        <x:v>Fruta fresca. Caja trae 10 paquetes. No conectar a pulpa.</x:v>
      </x:c>
      <x:c r="G59" s="23" t="str"/>
    </x:row>
    <x:row r="60">
      <x:c r="A60" s="23" t="str">
        <x:v>naranja</x:v>
      </x:c>
      <x:c r="B60" s="23" t="str">
        <x:v>Naranja</x:v>
      </x:c>
      <x:c r="C60" s="23" t="str">
        <x:v>SIN_REGLA</x:v>
      </x:c>
      <x:c r="D60" s="106" t="n">
        <x:v>50</x:v>
      </x:c>
      <x:c r="E60" s="23" t="str"/>
      <x:c r="F60" s="23" t="str">
        <x:v>Sin regla específica. Revisar manualmente.</x:v>
      </x:c>
      <x:c r="G60" s="23" t="str"/>
    </x:row>
    <x:row r="61">
      <x:c r="A61" s="23" t="str">
        <x:v>panela_pastilla</x:v>
      </x:c>
      <x:c r="B61" s="23" t="str">
        <x:v>Panela Pastilla</x:v>
      </x:c>
      <x:c r="C61" s="23" t="str">
        <x:v>SIN_REGLA</x:v>
      </x:c>
      <x:c r="D61" s="106" t="n">
        <x:v>50</x:v>
      </x:c>
      <x:c r="E61" s="23" t="str"/>
      <x:c r="F61" s="23" t="str">
        <x:v>Sin regla específica. Revisar manualmente.</x:v>
      </x:c>
      <x:c r="G61" s="23" t="str"/>
    </x:row>
    <x:row r="62">
      <x:c r="A62" s="23" t="str">
        <x:v>panelon</x:v>
      </x:c>
      <x:c r="B62" s="23" t="str">
        <x:v>Panelón</x:v>
      </x:c>
      <x:c r="C62" s="23" t="str">
        <x:v>SIN_REGLA</x:v>
      </x:c>
      <x:c r="D62" s="106" t="n">
        <x:v>50</x:v>
      </x:c>
      <x:c r="E62" s="23" t="str"/>
      <x:c r="F62" s="23" t="str">
        <x:v>Sin regla específica. Revisar manualmente.</x:v>
      </x:c>
      <x:c r="G62" s="23" t="str"/>
    </x:row>
    <x:row r="63">
      <x:c r="A63" s="23" t="str">
        <x:v>papa_criolla</x:v>
      </x:c>
      <x:c r="B63" s="23" t="str">
        <x:v>Papa Criolla</x:v>
      </x:c>
      <x:c r="C63" s="23" t="str">
        <x:v>DIRECTO_KILO</x:v>
      </x:c>
      <x:c r="D63" s="106" t="n">
        <x:v>50</x:v>
      </x:c>
      <x:c r="E63" s="23" t="str"/>
      <x:c r="F63" s="23" t="str">
        <x:v>Compra kilo. Margen sugerido 50%.</x:v>
      </x:c>
      <x:c r="G63" s="23" t="str"/>
    </x:row>
    <x:row r="64">
      <x:c r="A64" s="23" t="str">
        <x:v>papa_pastusa</x:v>
      </x:c>
      <x:c r="B64" s="23" t="str">
        <x:v>Papa Gruesa</x:v>
      </x:c>
      <x:c r="C64" s="23" t="str">
        <x:v>BULTO_A_KILO</x:v>
      </x:c>
      <x:c r="D64" s="106" t="n">
        <x:v>40</x:v>
      </x:c>
      <x:c r="E64" s="23" t="str">
        <x:v>45-50 kg/bulto</x:v>
      </x:c>
      <x:c r="F64" s="23" t="str">
        <x:v>Papa gruesa = Papa Pastusa. Bulto default 45-50 kg.</x:v>
      </x:c>
      <x:c r="G64" s="23" t="str"/>
    </x:row>
    <x:row r="65">
      <x:c r="A65" s="23" t="str">
        <x:v>papa_cero</x:v>
      </x:c>
      <x:c r="B65" s="23" t="str">
        <x:v>Papa Cero</x:v>
      </x:c>
      <x:c r="C65" s="23" t="str">
        <x:v>SIN_REGLA</x:v>
      </x:c>
      <x:c r="D65" s="106" t="n">
        <x:v>50</x:v>
      </x:c>
      <x:c r="E65" s="23" t="str"/>
      <x:c r="F65" s="23" t="str">
        <x:v>Sin regla específica. Revisar manualmente.</x:v>
      </x:c>
      <x:c r="G65" s="23" t="str"/>
    </x:row>
    <x:row r="66">
      <x:c r="A66" s="23" t="str">
        <x:v>papa_pareja</x:v>
      </x:c>
      <x:c r="B66" s="23" t="str">
        <x:v>Papa Pareja</x:v>
      </x:c>
      <x:c r="C66" s="23" t="str">
        <x:v>SIN_REGLA</x:v>
      </x:c>
      <x:c r="D66" s="106" t="n">
        <x:v>50</x:v>
      </x:c>
      <x:c r="E66" s="23" t="str"/>
      <x:c r="F66" s="23" t="str">
        <x:v>Sin regla específica. Revisar manualmente.</x:v>
      </x:c>
      <x:c r="G66" s="23" t="str"/>
    </x:row>
    <x:row r="67">
      <x:c r="A67" s="23" t="str">
        <x:v>papaya</x:v>
      </x:c>
      <x:c r="B67" s="23" t="str">
        <x:v>Papaya</x:v>
      </x:c>
      <x:c r="C67" s="23" t="str">
        <x:v>DIRECTO_KILO</x:v>
      </x:c>
      <x:c r="D67" s="106" t="n">
        <x:v>40</x:v>
      </x:c>
      <x:c r="E67" s="23" t="str"/>
      <x:c r="F67" s="23" t="str">
        <x:v>Compra kilo, vende kilo. Margen sugerido 40%.</x:v>
      </x:c>
      <x:c r="G67" s="23" t="str"/>
    </x:row>
    <x:row r="68">
      <x:c r="A68" s="23" t="str">
        <x:v>patilla</x:v>
      </x:c>
      <x:c r="B68" s="23" t="str">
        <x:v>Patilla</x:v>
      </x:c>
      <x:c r="C68" s="23" t="str">
        <x:v>SIN_REGLA</x:v>
      </x:c>
      <x:c r="D68" s="106" t="n">
        <x:v>50</x:v>
      </x:c>
      <x:c r="E68" s="23" t="str"/>
      <x:c r="F68" s="23" t="str">
        <x:v>Sin regla específica. Revisar manualmente.</x:v>
      </x:c>
      <x:c r="G68" s="23" t="str"/>
    </x:row>
    <x:row r="69">
      <x:c r="A69" s="23" t="str">
        <x:v>pepino_de_guiso</x:v>
      </x:c>
      <x:c r="B69" s="23" t="str">
        <x:v>Pepino de Guiso</x:v>
      </x:c>
      <x:c r="C69" s="23" t="str">
        <x:v>SIN_REGLA</x:v>
      </x:c>
      <x:c r="D69" s="106" t="n">
        <x:v>50</x:v>
      </x:c>
      <x:c r="E69" s="23" t="str"/>
      <x:c r="F69" s="23" t="str">
        <x:v>Sin regla específica. Revisar manualmente.</x:v>
      </x:c>
      <x:c r="G69" s="23" t="str"/>
    </x:row>
    <x:row r="70">
      <x:c r="A70" s="23" t="str">
        <x:v>pepino_cohombro</x:v>
      </x:c>
      <x:c r="B70" s="23" t="str">
        <x:v>Pepino Cohombro</x:v>
      </x:c>
      <x:c r="C70" s="23" t="str">
        <x:v>DIRECTO_KILO</x:v>
      </x:c>
      <x:c r="D70" s="106" t="n">
        <x:v>45</x:v>
      </x:c>
      <x:c r="E70" s="23" t="str"/>
      <x:c r="F70" s="23" t="str">
        <x:v>Compra kilo, vende kilo. Margen sugerido 45%.</x:v>
      </x:c>
      <x:c r="G70" s="23" t="str"/>
    </x:row>
    <x:row r="71">
      <x:c r="A71" s="23" t="str">
        <x:v>pera</x:v>
      </x:c>
      <x:c r="B71" s="23" t="str">
        <x:v>Pera</x:v>
      </x:c>
      <x:c r="C71" s="23" t="str">
        <x:v>SIN_REGLA</x:v>
      </x:c>
      <x:c r="D71" s="106" t="n">
        <x:v>50</x:v>
      </x:c>
      <x:c r="E71" s="23" t="str"/>
      <x:c r="F71" s="23" t="str">
        <x:v>Sin regla específica. Revisar manualmente.</x:v>
      </x:c>
      <x:c r="G71" s="23" t="str"/>
    </x:row>
    <x:row r="72">
      <x:c r="A72" s="23" t="str">
        <x:v>perejil</x:v>
      </x:c>
      <x:c r="B72" s="23" t="str">
        <x:v>Perejil</x:v>
      </x:c>
      <x:c r="C72" s="23" t="str">
        <x:v>DIRECTO_KILO</x:v>
      </x:c>
      <x:c r="D72" s="106" t="n">
        <x:v>60</x:v>
      </x:c>
      <x:c r="E72" s="23" t="str"/>
      <x:c r="F72" s="23" t="str">
        <x:v>Compra kilo, vende kilo. Margen sugerido 60%.</x:v>
      </x:c>
      <x:c r="G72" s="23" t="str"/>
    </x:row>
    <x:row r="73">
      <x:c r="A73" s="23" t="str">
        <x:v>pimenton</x:v>
      </x:c>
      <x:c r="B73" s="23" t="str">
        <x:v>Pimentón</x:v>
      </x:c>
      <x:c r="C73" s="23" t="str">
        <x:v>DIRECTO_KILO</x:v>
      </x:c>
      <x:c r="D73" s="106" t="n">
        <x:v>50</x:v>
      </x:c>
      <x:c r="E73" s="23" t="str"/>
      <x:c r="F73" s="23" t="str">
        <x:v>Compra kilo, vende kilo. Margen sugerido 50%.</x:v>
      </x:c>
      <x:c r="G73" s="23" t="str"/>
    </x:row>
    <x:row r="74">
      <x:c r="A74" s="23" t="str">
        <x:v>pina</x:v>
      </x:c>
      <x:c r="B74" s="23" t="str">
        <x:v>Piña</x:v>
      </x:c>
      <x:c r="C74" s="23" t="str">
        <x:v>SIN_REGLA</x:v>
      </x:c>
      <x:c r="D74" s="106" t="n">
        <x:v>50</x:v>
      </x:c>
      <x:c r="E74" s="23" t="str"/>
      <x:c r="F74" s="23" t="str">
        <x:v>Sin regla específica. Revisar manualmente.</x:v>
      </x:c>
      <x:c r="G74" s="23" t="str"/>
    </x:row>
    <x:row r="75">
      <x:c r="A75" s="23" t="str">
        <x:v>platano_verde</x:v>
      </x:c>
      <x:c r="B75" s="23" t="str">
        <x:v>Plátano</x:v>
      </x:c>
      <x:c r="C75" s="23" t="str">
        <x:v>DIRECTO_KILO_VINCULADO</x:v>
      </x:c>
      <x:c r="D75" s="106" t="n">
        <x:v>40</x:v>
      </x:c>
      <x:c r="E75" s="23" t="str"/>
      <x:c r="F75" s="23" t="str">
        <x:v>Plátano = Plátano Verde. También actualiza Plátano Maduro al mismo precio.</x:v>
      </x:c>
      <x:c r="G75" s="23" t="str"/>
    </x:row>
    <x:row r="76">
      <x:c r="A76" s="23" t="str">
        <x:v>rabanos</x:v>
      </x:c>
      <x:c r="B76" s="23" t="str">
        <x:v>Rábanos</x:v>
      </x:c>
      <x:c r="C76" s="23" t="str">
        <x:v>SIN_REGLA</x:v>
      </x:c>
      <x:c r="D76" s="106" t="n">
        <x:v>50</x:v>
      </x:c>
      <x:c r="E76" s="23" t="str"/>
      <x:c r="F76" s="23" t="str">
        <x:v>Sin regla específica. Revisar manualmente.</x:v>
      </x:c>
      <x:c r="G76" s="23" t="str"/>
    </x:row>
    <x:row r="77">
      <x:c r="A77" s="23" t="str">
        <x:v>remolacha</x:v>
      </x:c>
      <x:c r="B77" s="23" t="str">
        <x:v>Remolacha</x:v>
      </x:c>
      <x:c r="C77" s="23" t="str">
        <x:v>DIRECTO_KILO</x:v>
      </x:c>
      <x:c r="D77" s="106" t="n">
        <x:v>40</x:v>
      </x:c>
      <x:c r="E77" s="23" t="str"/>
      <x:c r="F77" s="23" t="str">
        <x:v>Compra kilo, vende kilo. Margen sugerido 40%.</x:v>
      </x:c>
      <x:c r="G77" s="23" t="str"/>
    </x:row>
    <x:row r="78">
      <x:c r="A78" s="23" t="str">
        <x:v>repollo</x:v>
      </x:c>
      <x:c r="B78" s="23" t="str">
        <x:v>Repollo</x:v>
      </x:c>
      <x:c r="C78" s="23" t="str">
        <x:v>DIRECTO_KILO</x:v>
      </x:c>
      <x:c r="D78" s="106" t="n">
        <x:v>40</x:v>
      </x:c>
      <x:c r="E78" s="23" t="str"/>
      <x:c r="F78" s="23" t="str">
        <x:v>Compra kilo, vende kilo. Margen sugerido 40%.</x:v>
      </x:c>
      <x:c r="G78" s="23" t="str"/>
    </x:row>
    <x:row r="79">
      <x:c r="A79" s="23" t="str">
        <x:v>tomate_chonto</x:v>
      </x:c>
      <x:c r="B79" s="23" t="str">
        <x:v>Tomate Chonto Grueso</x:v>
      </x:c>
      <x:c r="C79" s="23" t="str">
        <x:v>CAJA_A_KILO</x:v>
      </x:c>
      <x:c r="D79" s="106" t="n">
        <x:v>45</x:v>
      </x:c>
      <x:c r="E79" s="23" t="str">
        <x:v>22 kg/caja</x:v>
      </x:c>
      <x:c r="F79" s="23" t="str">
        <x:v>Caja default 22 kg. Margen sugerido 45%.</x:v>
      </x:c>
      <x:c r="G79" s="23" t="str"/>
    </x:row>
    <x:row r="80">
      <x:c r="A80" s="23" t="str">
        <x:v>tomate_semi</x:v>
      </x:c>
      <x:c r="B80" s="23" t="str">
        <x:v>Tomate Semi</x:v>
      </x:c>
      <x:c r="C80" s="23" t="str">
        <x:v>SIN_REGLA</x:v>
      </x:c>
      <x:c r="D80" s="106" t="n">
        <x:v>50</x:v>
      </x:c>
      <x:c r="E80" s="23" t="str"/>
      <x:c r="F80" s="23" t="str">
        <x:v>Sin regla específica. Revisar manualmente.</x:v>
      </x:c>
      <x:c r="G80" s="23" t="str"/>
    </x:row>
    <x:row r="81">
      <x:c r="A81" s="23" t="str">
        <x:v>tomate_arbol_fresco</x:v>
      </x:c>
      <x:c r="B81" s="23" t="str">
        <x:v>Tomate de Árbol</x:v>
      </x:c>
      <x:c r="C81" s="23" t="str">
        <x:v>CAJA_A_KILO</x:v>
      </x:c>
      <x:c r="D81" s="106" t="n">
        <x:v>50</x:v>
      </x:c>
      <x:c r="E81" s="23" t="str">
        <x:v>11-12 kg/caja</x:v>
      </x:c>
      <x:c r="F81" s="23" t="str">
        <x:v>Fruta fresca. Caja default 11-12 kg. No conectar a pulpa.</x:v>
      </x:c>
      <x:c r="G81" s="23" t="str"/>
    </x:row>
    <x:row r="82">
      <x:c r="A82" s="23" t="str">
        <x:v>tomillo_y_laurel</x:v>
      </x:c>
      <x:c r="B82" s="23" t="str">
        <x:v>Tomillo y Laurel</x:v>
      </x:c>
      <x:c r="C82" s="23" t="str">
        <x:v>SIN_REGLA</x:v>
      </x:c>
      <x:c r="D82" s="106" t="n">
        <x:v>50</x:v>
      </x:c>
      <x:c r="E82" s="23" t="str"/>
      <x:c r="F82" s="23" t="str">
        <x:v>Sin regla específica. Revisar manualmente.</x:v>
      </x:c>
      <x:c r="G82" s="23" t="str"/>
    </x:row>
    <x:row r="83">
      <x:c r="A83" s="23" t="str">
        <x:v>uchubas</x:v>
      </x:c>
      <x:c r="B83" s="23" t="str">
        <x:v>Uchubas</x:v>
      </x:c>
      <x:c r="C83" s="23" t="str">
        <x:v>SIN_REGLA</x:v>
      </x:c>
      <x:c r="D83" s="106" t="n">
        <x:v>50</x:v>
      </x:c>
      <x:c r="E83" s="23" t="str"/>
      <x:c r="F83" s="23" t="str">
        <x:v>Sin regla específica. Revisar manualmente.</x:v>
      </x:c>
      <x:c r="G83" s="23" t="str"/>
    </x:row>
    <x:row r="84">
      <x:c r="A84" s="23" t="str">
        <x:v>uva_isabella</x:v>
      </x:c>
      <x:c r="B84" s="23" t="str">
        <x:v>Uva Isabella</x:v>
      </x:c>
      <x:c r="C84" s="23" t="str">
        <x:v>DIRECTO_BANDEJA</x:v>
      </x:c>
      <x:c r="D84" s="106" t="n">
        <x:v>50</x:v>
      </x:c>
      <x:c r="E84" s="23" t="str"/>
      <x:c r="F84" s="23" t="str">
        <x:v>Compra bandeja, vende bandeja. Margen 50%.</x:v>
      </x:c>
      <x:c r="G84" s="23" t="str"/>
    </x:row>
    <x:row r="85">
      <x:c r="A85" s="23" t="str">
        <x:v>uva_combinada</x:v>
      </x:c>
      <x:c r="B85" s="23" t="str">
        <x:v>Uva Combinada</x:v>
      </x:c>
      <x:c r="C85" s="23" t="str">
        <x:v>DIRECTO_BANDEJA</x:v>
      </x:c>
      <x:c r="D85" s="106" t="n">
        <x:v>50</x:v>
      </x:c>
      <x:c r="E85" s="23" t="str"/>
      <x:c r="F85" s="23" t="str">
        <x:v>Compra bandeja, vende bandeja. Margen 50%.</x:v>
      </x:c>
      <x:c r="G85" s="23" t="str"/>
    </x:row>
    <x:row r="86">
      <x:c r="A86" s="23" t="str">
        <x:v>uva_chilena</x:v>
      </x:c>
      <x:c r="B86" s="23" t="str">
        <x:v>Uva Chilena</x:v>
      </x:c>
      <x:c r="C86" s="23" t="str">
        <x:v>SIN_REGLA</x:v>
      </x:c>
      <x:c r="D86" s="106" t="n">
        <x:v>50</x:v>
      </x:c>
      <x:c r="E86" s="23" t="str"/>
      <x:c r="F86" s="23" t="str">
        <x:v>Sin regla específica. Revisar manualmente.</x:v>
      </x:c>
      <x:c r="G86" s="23" t="str"/>
    </x:row>
    <x:row r="87">
      <x:c r="A87" s="23" t="str">
        <x:v>yuca</x:v>
      </x:c>
      <x:c r="B87" s="23" t="str">
        <x:v>Yuca</x:v>
      </x:c>
      <x:c r="C87" s="23" t="str">
        <x:v>DIRECTO_KILO</x:v>
      </x:c>
      <x:c r="D87" s="106" t="n">
        <x:v>40</x:v>
      </x:c>
      <x:c r="E87" s="23" t="str"/>
      <x:c r="F87" s="23" t="str">
        <x:v>Compra kilo, vende kilo. Margen sugerido 40%.</x:v>
      </x:c>
      <x:c r="G87" s="23" t="str"/>
    </x:row>
    <x:row r="88">
      <x:c r="A88" s="23" t="str">
        <x:v>zanahoria</x:v>
      </x:c>
      <x:c r="B88" s="23" t="str">
        <x:v>Zanahoria Extra</x:v>
      </x:c>
      <x:c r="C88" s="23" t="str">
        <x:v>DIRECTO_KILO_CONSOLIDADO</x:v>
      </x:c>
      <x:c r="D88" s="106" t="n">
        <x:v>40</x:v>
      </x:c>
      <x:c r="E88" s="23" t="str"/>
      <x:c r="F88" s="23" t="str">
        <x:v>Zanahoria Extra/Cero se consolidan en Zanahoria. No separar calidades.</x:v>
      </x:c>
      <x:c r="G88" s="23" t="str"/>
    </x:row>
    <x:row r="89">
      <x:c r="A89" s="23" t="str">
        <x:v>zukini</x:v>
      </x:c>
      <x:c r="B89" s="23" t="str">
        <x:v>Zukini</x:v>
      </x:c>
      <x:c r="C89" s="23" t="str">
        <x:v>SIN_REGLA</x:v>
      </x:c>
      <x:c r="D89" s="106" t="n">
        <x:v>50</x:v>
      </x:c>
      <x:c r="E89" s="23" t="str"/>
      <x:c r="F89" s="23" t="str">
        <x:v>Sin regla específica. Revisar manualmente.</x:v>
      </x:c>
      <x:c r="G89" s="23" t="str"/>
    </x:row>
    <x:row r="90">
      <x:c r="A90" s="23" t="str">
        <x:v>zumo_limon_grande</x:v>
      </x:c>
      <x:c r="B90" s="23" t="str">
        <x:v>Zumo limón Grande</x:v>
      </x:c>
      <x:c r="C90" s="23" t="str">
        <x:v>SIN_REGLA</x:v>
      </x:c>
      <x:c r="D90" s="106" t="n">
        <x:v>50</x:v>
      </x:c>
      <x:c r="E90" s="23" t="str"/>
      <x:c r="F90" s="23" t="str">
        <x:v>Sin regla específica. Revisar manualmente.</x:v>
      </x:c>
      <x:c r="G90" s="23" t="str"/>
    </x:row>
    <x:row r="91">
      <x:c r="A91" s="23" t="str">
        <x:v>zumo_limon_pequeno</x:v>
      </x:c>
      <x:c r="B91" s="23" t="str">
        <x:v>Zumo Limón Pequeño</x:v>
      </x:c>
      <x:c r="C91" s="23" t="str">
        <x:v>SIN_REGLA</x:v>
      </x:c>
      <x:c r="D91" s="106" t="n">
        <x:v>50</x:v>
      </x:c>
      <x:c r="E91" s="23" t="str"/>
      <x:c r="F91" s="23" t="str">
        <x:v>Sin regla específica. Revisar manualmente.</x:v>
      </x:c>
      <x:c r="G91" s="23" t="str"/>
    </x:row>
  </x:sheetData>
  <x:pageMargins left="0.7" right="0.7" top="0.75" bottom="0.75" header="0.3" footer="0.3"/>
  <x:tableParts count="1">
    <x:tablePart xmlns:r="http://schemas.openxmlformats.org/officeDocument/2006/relationships" r:id="R7c0313b4ff2c4d9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32" hidden="0" customWidth="1"/>
  </x:cols>
  <x:sheetData>
    <x:row r="1" ht="28" customHeight="1">
      <x:c r="A1" s="29" t="str">
        <x:v>Codigo</x:v>
      </x:c>
      <x:c r="B1" s="29" t="str">
        <x:v>Normaliza como</x:v>
      </x:c>
      <x:c r="C1" s="29" t="str">
        <x:v>Uso</x:v>
      </x:c>
    </x:row>
    <x:row r="2">
      <x:c r="A2" s="20" t="str">
        <x:v>KG</x:v>
      </x:c>
      <x:c r="B2" s="20" t="str">
        <x:v>KILO</x:v>
      </x:c>
      <x:c r="C2" s="20" t="str">
        <x:v>Kilos</x:v>
      </x:c>
    </x:row>
    <x:row r="3">
      <x:c r="A3" s="20" t="str">
        <x:v>KL</x:v>
      </x:c>
      <x:c r="B3" s="20" t="str">
        <x:v>KILO</x:v>
      </x:c>
      <x:c r="C3" s="20" t="str">
        <x:v>Kilos</x:v>
      </x:c>
    </x:row>
    <x:row r="4">
      <x:c r="A4" s="20" t="str">
        <x:v>KILO</x:v>
      </x:c>
      <x:c r="B4" s="20" t="str">
        <x:v>KILO</x:v>
      </x:c>
      <x:c r="C4" s="20" t="str">
        <x:v>Kilos</x:v>
      </x:c>
    </x:row>
    <x:row r="5">
      <x:c r="A5" s="20" t="str">
        <x:v>UND</x:v>
      </x:c>
      <x:c r="B5" s="20" t="str">
        <x:v>UNIDAD</x:v>
      </x:c>
      <x:c r="C5" s="20" t="str">
        <x:v>Unidades</x:v>
      </x:c>
    </x:row>
    <x:row r="6">
      <x:c r="A6" s="20" t="str">
        <x:v>UNIDAD</x:v>
      </x:c>
      <x:c r="B6" s="20" t="str">
        <x:v>UNIDAD</x:v>
      </x:c>
      <x:c r="C6" s="20" t="str">
        <x:v>Unidades</x:v>
      </x:c>
    </x:row>
    <x:row r="7">
      <x:c r="A7" s="20" t="str">
        <x:v>CJ</x:v>
      </x:c>
      <x:c r="B7" s="20" t="str">
        <x:v>CAJA</x:v>
      </x:c>
      <x:c r="C7" s="20" t="str">
        <x:v>Caja completa</x:v>
      </x:c>
    </x:row>
    <x:row r="8">
      <x:c r="A8" s="20" t="str">
        <x:v>CAJA</x:v>
      </x:c>
      <x:c r="B8" s="20" t="str">
        <x:v>CAJA</x:v>
      </x:c>
      <x:c r="C8" s="20" t="str">
        <x:v>Caja completa</x:v>
      </x:c>
    </x:row>
    <x:row r="9">
      <x:c r="A9" s="20" t="str">
        <x:v>BT</x:v>
      </x:c>
      <x:c r="B9" s="20" t="str">
        <x:v>BULTO</x:v>
      </x:c>
      <x:c r="C9" s="20" t="str">
        <x:v>Bulto completo</x:v>
      </x:c>
    </x:row>
    <x:row r="10">
      <x:c r="A10" s="20" t="str">
        <x:v>BULTO</x:v>
      </x:c>
      <x:c r="B10" s="20" t="str">
        <x:v>BULTO</x:v>
      </x:c>
      <x:c r="C10" s="20" t="str">
        <x:v>Bulto completo</x:v>
      </x:c>
    </x:row>
    <x:row r="11">
      <x:c r="A11" s="20" t="str">
        <x:v>MTA</x:v>
      </x:c>
      <x:c r="B11" s="20" t="str">
        <x:v>MATA</x:v>
      </x:c>
      <x:c r="C11" s="20" t="str">
        <x:v>Mata completa</x:v>
      </x:c>
    </x:row>
    <x:row r="12">
      <x:c r="A12" s="20" t="str">
        <x:v>MATA</x:v>
      </x:c>
      <x:c r="B12" s="20" t="str">
        <x:v>MATA</x:v>
      </x:c>
      <x:c r="C12" s="20" t="str">
        <x:v>Mata completa</x:v>
      </x:c>
    </x:row>
    <x:row r="13">
      <x:c r="A13" s="20" t="str">
        <x:v>BJA</x:v>
      </x:c>
      <x:c r="B13" s="20" t="str">
        <x:v>BANDEJA</x:v>
      </x:c>
      <x:c r="C13" s="20" t="str">
        <x:v>Bandeja</x:v>
      </x:c>
    </x:row>
    <x:row r="14">
      <x:c r="A14" s="20" t="str">
        <x:v>BANDEJA</x:v>
      </x:c>
      <x:c r="B14" s="20" t="str">
        <x:v>BANDEJA</x:v>
      </x:c>
      <x:c r="C14" s="20" t="str">
        <x:v>Bandeja</x:v>
      </x:c>
    </x:row>
    <x:row r="15">
      <x:c r="A15" s="20" t="str">
        <x:v>PAQ</x:v>
      </x:c>
      <x:c r="B15" s="20" t="str">
        <x:v>PAQUETE</x:v>
      </x:c>
      <x:c r="C15" s="20" t="str">
        <x:v>Paquete</x:v>
      </x:c>
    </x:row>
    <x:row r="16">
      <x:c r="A16" s="20" t="str">
        <x:v>PAQUETE</x:v>
      </x:c>
      <x:c r="B16" s="20" t="str">
        <x:v>PAQUETE</x:v>
      </x:c>
      <x:c r="C16" s="20" t="str">
        <x:v>Paquete</x:v>
      </x:c>
    </x:row>
    <x:row r="17">
      <x:c r="A17" s="20" t="str">
        <x:v>ARROBA</x:v>
      </x:c>
      <x:c r="B17" s="20" t="str">
        <x:v>ARROBA</x:v>
      </x:c>
      <x:c r="C17" s="20" t="str">
        <x:v>Arroba</x:v>
      </x:c>
    </x:row>
  </x:sheetData>
  <x:pageMargins left="0.7" right="0.7" top="0.75" bottom="0.75" header="0.3" footer="0.3"/>
  <x:tableParts count="1">
    <x:tablePart xmlns:r="http://schemas.openxmlformats.org/officeDocument/2006/relationships" r:id="R6bbf2bc72ac7445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6" hidden="0" customWidth="1"/>
    <x:col min="4" max="4" width="60" hidden="0" customWidth="1"/>
  </x:cols>
  <x:sheetData>
    <x:row r="1" ht="28" customHeight="1">
      <x:c r="A1" s="29" t="str">
        <x:v>Texto recibido / anterior</x:v>
      </x:c>
      <x:c r="B1" s="29" t="str">
        <x:v>Producto correcto</x:v>
      </x:c>
      <x:c r="C1" s="29" t="str">
        <x:v>productoClave</x:v>
      </x:c>
      <x:c r="D1" s="29" t="str">
        <x:v>Nota</x:v>
      </x:c>
    </x:row>
    <x:row r="2">
      <x:c r="A2" s="23" t="str">
        <x:v>Aceiga</x:v>
      </x:c>
      <x:c r="B2" s="23" t="str">
        <x:v>Acelga</x:v>
      </x:c>
      <x:c r="C2" s="23" t="str">
        <x:v>acelga</x:v>
      </x:c>
      <x:c r="D2" s="23" t="str">
        <x:v>Corregir nombre en app cuando sea posible.</x:v>
      </x:c>
    </x:row>
    <x:row r="3">
      <x:c r="A3" s="23" t="str">
        <x:v>Genjibre</x:v>
      </x:c>
      <x:c r="B3" s="23" t="str">
        <x:v>Jengibre</x:v>
      </x:c>
      <x:c r="C3" s="23" t="str">
        <x:v>jengibre</x:v>
      </x:c>
      <x:c r="D3" s="23" t="str">
        <x:v>Error ortográfico del formato anterior.</x:v>
      </x:c>
    </x:row>
    <x:row r="4">
      <x:c r="A4" s="23" t="str">
        <x:v>Gengibre</x:v>
      </x:c>
      <x:c r="B4" s="23" t="str">
        <x:v>Jengibre</x:v>
      </x:c>
      <x:c r="C4" s="23" t="str">
        <x:v>jengibre</x:v>
      </x:c>
      <x:c r="D4" s="23" t="str">
        <x:v>Producto activo aparece así en la app.</x:v>
      </x:c>
    </x:row>
    <x:row r="5">
      <x:c r="A5" s="23" t="str">
        <x:v>Uva Conbinada</x:v>
      </x:c>
      <x:c r="B5" s="23" t="str">
        <x:v>Uva Combinada</x:v>
      </x:c>
      <x:c r="C5" s="23" t="str">
        <x:v>uva_combinada</x:v>
      </x:c>
      <x:c r="D5" s="23" t="str">
        <x:v>Corregir nombre.</x:v>
      </x:c>
    </x:row>
    <x:row r="6">
      <x:c r="A6" s="23" t="str">
        <x:v>Uva Isabela</x:v>
      </x:c>
      <x:c r="B6" s="23" t="str">
        <x:v>Uva Isabella</x:v>
      </x:c>
      <x:c r="C6" s="23" t="str">
        <x:v>uva_isabella</x:v>
      </x:c>
      <x:c r="D6" s="23" t="str">
        <x:v>Normalizar con doble l.</x:v>
      </x:c>
    </x:row>
    <x:row r="7">
      <x:c r="A7" s="23" t="str">
        <x:v>Manzana Royal</x:v>
      </x:c>
      <x:c r="B7" s="23" t="str">
        <x:v>Manzana Royale</x:v>
      </x:c>
      <x:c r="C7" s="23" t="str">
        <x:v>manzana_royale</x:v>
      </x:c>
      <x:c r="D7" s="23" t="str">
        <x:v>Normalizar a Royale.</x:v>
      </x:c>
    </x:row>
    <x:row r="8">
      <x:c r="A8" s="23" t="str">
        <x:v>Papa Gruesa</x:v>
      </x:c>
      <x:c r="B8" s="23" t="str">
        <x:v>Papa Pastusa</x:v>
      </x:c>
      <x:c r="C8" s="23" t="str">
        <x:v>papa_pastusa</x:v>
      </x:c>
      <x:c r="D8" s="23" t="str">
        <x:v>Son el mismo producto para la app.</x:v>
      </x:c>
    </x:row>
    <x:row r="9">
      <x:c r="A9" s="23" t="str">
        <x:v>Tomate Chonto Grueso</x:v>
      </x:c>
      <x:c r="B9" s="23" t="str">
        <x:v>Tomate Chonto</x:v>
      </x:c>
      <x:c r="C9" s="23" t="str">
        <x:v>tomate_chonto</x:v>
      </x:c>
      <x:c r="D9" s="23" t="str">
        <x:v>Conectar al producto Tomate Chonto.</x:v>
      </x:c>
    </x:row>
    <x:row r="10">
      <x:c r="A10" s="23" t="str">
        <x:v>Zanahoria Extra</x:v>
      </x:c>
      <x:c r="B10" s="23" t="str">
        <x:v>Zanahoria</x:v>
      </x:c>
      <x:c r="C10" s="23" t="str">
        <x:v>zanahoria</x:v>
      </x:c>
      <x:c r="D10" s="23" t="str">
        <x:v>No manejar calidades separadas.</x:v>
      </x:c>
    </x:row>
    <x:row r="11">
      <x:c r="A11" s="23" t="str">
        <x:v>Zanahoria Cero</x:v>
      </x:c>
      <x:c r="B11" s="23" t="str">
        <x:v>Zanahoria</x:v>
      </x:c>
      <x:c r="C11" s="23" t="str">
        <x:v>zanahoria</x:v>
      </x:c>
      <x:c r="D11" s="23" t="str">
        <x:v>No manejar calidades separadas.</x:v>
      </x:c>
    </x:row>
    <x:row r="12">
      <x:c r="A12" s="23" t="str">
        <x:v>Plátano</x:v>
      </x:c>
      <x:c r="B12" s="23" t="str">
        <x:v>Plátano Verde</x:v>
      </x:c>
      <x:c r="C12" s="23" t="str">
        <x:v>platano_verde</x:v>
      </x:c>
      <x:c r="D12" s="23" t="str">
        <x:v>También actualizar Plátano Maduro con mismo precio.</x:v>
      </x:c>
    </x:row>
    <x:row r="13">
      <x:c r="A13" s="23" t="str">
        <x:v>Mora</x:v>
      </x:c>
      <x:c r="B13" s="23" t="str">
        <x:v>Mora fresca</x:v>
      </x:c>
      <x:c r="C13" s="23" t="str">
        <x:v>mora_fresca</x:v>
      </x:c>
      <x:c r="D13" s="23" t="str">
        <x:v>No conectar con Pulpa de Mora.</x:v>
      </x:c>
    </x:row>
    <x:row r="14">
      <x:c r="A14" s="23" t="str">
        <x:v>Lulo</x:v>
      </x:c>
      <x:c r="B14" s="23" t="str">
        <x:v>Lulo fresco</x:v>
      </x:c>
      <x:c r="C14" s="23" t="str">
        <x:v>lulo_fresco</x:v>
      </x:c>
      <x:c r="D14" s="23" t="str">
        <x:v>No conectar con Pulpa de Lulo.</x:v>
      </x:c>
    </x:row>
    <x:row r="15">
      <x:c r="A15" s="23" t="str">
        <x:v>Guanábana</x:v>
      </x:c>
      <x:c r="B15" s="23" t="str">
        <x:v>Guanábana fresca</x:v>
      </x:c>
      <x:c r="C15" s="23" t="str">
        <x:v>guanabana_fresca</x:v>
      </x:c>
      <x:c r="D15" s="23" t="str">
        <x:v>No conectar con Pulpa de Guanabana.</x:v>
      </x:c>
    </x:row>
    <x:row r="16">
      <x:c r="A16" s="23" t="str">
        <x:v>Tomate de Árbol</x:v>
      </x:c>
      <x:c r="B16" s="23" t="str">
        <x:v>Tomate de Árbol fresco</x:v>
      </x:c>
      <x:c r="C16" s="23" t="str">
        <x:v>tomate_arbol_fresco</x:v>
      </x:c>
      <x:c r="D16" s="23" t="str">
        <x:v>No conectar con pulpa.</x:v>
      </x:c>
    </x:row>
  </x:sheetData>
  <x:pageMargins left="0.7" right="0.7" top="0.75" bottom="0.75" header="0.3" footer="0.3"/>
  <x:tableParts count="1">
    <x:tablePart xmlns:r="http://schemas.openxmlformats.org/officeDocument/2006/relationships" r:id="R4fad452d6e13423d"/>
  </x:tableParts>
</x:worksheet>
</file>